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luisadle/Desktop/"/>
    </mc:Choice>
  </mc:AlternateContent>
  <xr:revisionPtr revIDLastSave="0" documentId="13_ncr:1_{84E2D9EE-EEA3-414C-A7B9-BDEACDE6C554}" xr6:coauthVersionLast="47" xr6:coauthVersionMax="47" xr10:uidLastSave="{00000000-0000-0000-0000-000000000000}"/>
  <bookViews>
    <workbookView xWindow="0" yWindow="720" windowWidth="29400" windowHeight="18400" xr2:uid="{FCA22B46-6FDB-A54F-8181-F49C32087CE6}"/>
  </bookViews>
  <sheets>
    <sheet name="ALL" sheetId="1" r:id="rId1"/>
    <sheet name="Informe Directivo 2021" sheetId="2" r:id="rId2"/>
    <sheet name="Informe Directivo 2022" sheetId="3" r:id="rId3"/>
    <sheet name="Informe Directivo 2023" sheetId="5" r:id="rId4"/>
    <sheet name="Informe Directivo 2024" sheetId="6" r:id="rId5"/>
  </sheets>
  <definedNames>
    <definedName name="_xlnm._FilterDatabase" localSheetId="0" hidden="1">ALL!$A$1:$E$135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I5" i="1"/>
  <c r="J5" i="1"/>
  <c r="K5" i="1"/>
  <c r="L5" i="1"/>
  <c r="M5" i="1"/>
  <c r="S5" i="1" s="1"/>
  <c r="T5" i="1" s="1"/>
  <c r="U5" i="1" s="1"/>
  <c r="N5" i="1"/>
  <c r="O5" i="1"/>
  <c r="P5" i="1"/>
  <c r="Q5" i="1"/>
  <c r="R5" i="1"/>
  <c r="H6" i="1"/>
  <c r="S6" i="1" s="1"/>
  <c r="T6" i="1" s="1"/>
  <c r="U6" i="1" s="1"/>
  <c r="I6" i="1"/>
  <c r="J6" i="1"/>
  <c r="K6" i="1"/>
  <c r="L6" i="1"/>
  <c r="M6" i="1"/>
  <c r="N6" i="1"/>
  <c r="O6" i="1"/>
  <c r="P6" i="1"/>
  <c r="Q6" i="1"/>
  <c r="R6" i="1"/>
  <c r="H7" i="1"/>
  <c r="S7" i="1" s="1"/>
  <c r="T7" i="1" s="1"/>
  <c r="U7" i="1" s="1"/>
  <c r="I7" i="1"/>
  <c r="J7" i="1"/>
  <c r="K7" i="1"/>
  <c r="L7" i="1"/>
  <c r="M7" i="1"/>
  <c r="N7" i="1"/>
  <c r="O7" i="1"/>
  <c r="P7" i="1"/>
  <c r="Q7" i="1"/>
  <c r="R7" i="1"/>
  <c r="H8" i="1"/>
  <c r="I8" i="1"/>
  <c r="S8" i="1" s="1"/>
  <c r="T8" i="1" s="1"/>
  <c r="U8" i="1" s="1"/>
  <c r="J8" i="1"/>
  <c r="K8" i="1"/>
  <c r="L8" i="1"/>
  <c r="M8" i="1"/>
  <c r="N8" i="1"/>
  <c r="O8" i="1"/>
  <c r="P8" i="1"/>
  <c r="Q8" i="1"/>
  <c r="R8" i="1"/>
  <c r="H9" i="1"/>
  <c r="I9" i="1"/>
  <c r="J9" i="1"/>
  <c r="K9" i="1"/>
  <c r="L9" i="1"/>
  <c r="M9" i="1"/>
  <c r="N9" i="1"/>
  <c r="S9" i="1" s="1"/>
  <c r="T9" i="1" s="1"/>
  <c r="U9" i="1" s="1"/>
  <c r="O9" i="1"/>
  <c r="P9" i="1"/>
  <c r="Q9" i="1"/>
  <c r="R9" i="1"/>
  <c r="H10" i="1"/>
  <c r="S10" i="1" s="1"/>
  <c r="T10" i="1" s="1"/>
  <c r="U10" i="1" s="1"/>
  <c r="I10" i="1"/>
  <c r="J10" i="1"/>
  <c r="K10" i="1"/>
  <c r="L10" i="1"/>
  <c r="M10" i="1"/>
  <c r="N10" i="1"/>
  <c r="O10" i="1"/>
  <c r="P10" i="1"/>
  <c r="Q10" i="1"/>
  <c r="R10" i="1"/>
  <c r="H11" i="1"/>
  <c r="S11" i="1" s="1"/>
  <c r="T11" i="1" s="1"/>
  <c r="U11" i="1" s="1"/>
  <c r="I11" i="1"/>
  <c r="J11" i="1"/>
  <c r="K11" i="1"/>
  <c r="L11" i="1"/>
  <c r="M11" i="1"/>
  <c r="N11" i="1"/>
  <c r="O11" i="1"/>
  <c r="P11" i="1"/>
  <c r="Q11" i="1"/>
  <c r="R11" i="1"/>
  <c r="H12" i="1"/>
  <c r="I12" i="1"/>
  <c r="S12" i="1" s="1"/>
  <c r="T12" i="1" s="1"/>
  <c r="U12" i="1" s="1"/>
  <c r="J12" i="1"/>
  <c r="K12" i="1"/>
  <c r="L12" i="1"/>
  <c r="M12" i="1"/>
  <c r="N12" i="1"/>
  <c r="O12" i="1"/>
  <c r="P12" i="1"/>
  <c r="Q12" i="1"/>
  <c r="R12" i="1"/>
  <c r="H13" i="1"/>
  <c r="I13" i="1"/>
  <c r="J13" i="1"/>
  <c r="K13" i="1"/>
  <c r="L13" i="1"/>
  <c r="M13" i="1"/>
  <c r="N13" i="1"/>
  <c r="S13" i="1" s="1"/>
  <c r="T13" i="1" s="1"/>
  <c r="U13" i="1" s="1"/>
  <c r="O13" i="1"/>
  <c r="P13" i="1"/>
  <c r="Q13" i="1"/>
  <c r="R13" i="1"/>
  <c r="H14" i="1"/>
  <c r="S14" i="1" s="1"/>
  <c r="T14" i="1" s="1"/>
  <c r="U14" i="1" s="1"/>
  <c r="I14" i="1"/>
  <c r="J14" i="1"/>
  <c r="K14" i="1"/>
  <c r="L14" i="1"/>
  <c r="M14" i="1"/>
  <c r="N14" i="1"/>
  <c r="O14" i="1"/>
  <c r="P14" i="1"/>
  <c r="Q14" i="1"/>
  <c r="R14" i="1"/>
  <c r="H15" i="1"/>
  <c r="S15" i="1" s="1"/>
  <c r="T15" i="1" s="1"/>
  <c r="U15" i="1" s="1"/>
  <c r="I15" i="1"/>
  <c r="J15" i="1"/>
  <c r="K15" i="1"/>
  <c r="L15" i="1"/>
  <c r="M15" i="1"/>
  <c r="N15" i="1"/>
  <c r="O15" i="1"/>
  <c r="P15" i="1"/>
  <c r="Q15" i="1"/>
  <c r="R15" i="1"/>
  <c r="H16" i="1"/>
  <c r="I16" i="1"/>
  <c r="S16" i="1" s="1"/>
  <c r="T16" i="1" s="1"/>
  <c r="U16" i="1" s="1"/>
  <c r="J16" i="1"/>
  <c r="K16" i="1"/>
  <c r="L16" i="1"/>
  <c r="M16" i="1"/>
  <c r="N16" i="1"/>
  <c r="O16" i="1"/>
  <c r="P16" i="1"/>
  <c r="Q16" i="1"/>
  <c r="R16" i="1"/>
  <c r="H17" i="1"/>
  <c r="I17" i="1"/>
  <c r="J17" i="1"/>
  <c r="K17" i="1"/>
  <c r="L17" i="1"/>
  <c r="M17" i="1"/>
  <c r="N17" i="1"/>
  <c r="S17" i="1" s="1"/>
  <c r="T17" i="1" s="1"/>
  <c r="U17" i="1" s="1"/>
  <c r="O17" i="1"/>
  <c r="P17" i="1"/>
  <c r="Q17" i="1"/>
  <c r="R17" i="1"/>
  <c r="H18" i="1"/>
  <c r="S18" i="1" s="1"/>
  <c r="T18" i="1" s="1"/>
  <c r="U18" i="1" s="1"/>
  <c r="I18" i="1"/>
  <c r="J18" i="1"/>
  <c r="K18" i="1"/>
  <c r="L18" i="1"/>
  <c r="M18" i="1"/>
  <c r="N18" i="1"/>
  <c r="O18" i="1"/>
  <c r="P18" i="1"/>
  <c r="Q18" i="1"/>
  <c r="R18" i="1"/>
  <c r="H19" i="1"/>
  <c r="S19" i="1" s="1"/>
  <c r="T19" i="1" s="1"/>
  <c r="U19" i="1" s="1"/>
  <c r="I19" i="1"/>
  <c r="J19" i="1"/>
  <c r="K19" i="1"/>
  <c r="L19" i="1"/>
  <c r="M19" i="1"/>
  <c r="N19" i="1"/>
  <c r="O19" i="1"/>
  <c r="P19" i="1"/>
  <c r="Q19" i="1"/>
  <c r="R19" i="1"/>
  <c r="H20" i="1"/>
  <c r="I20" i="1"/>
  <c r="S20" i="1" s="1"/>
  <c r="T20" i="1" s="1"/>
  <c r="U20" i="1" s="1"/>
  <c r="J20" i="1"/>
  <c r="K20" i="1"/>
  <c r="L20" i="1"/>
  <c r="M20" i="1"/>
  <c r="N20" i="1"/>
  <c r="O20" i="1"/>
  <c r="P20" i="1"/>
  <c r="Q20" i="1"/>
  <c r="R20" i="1"/>
  <c r="H21" i="1"/>
  <c r="I21" i="1"/>
  <c r="J21" i="1"/>
  <c r="K21" i="1"/>
  <c r="L21" i="1"/>
  <c r="M21" i="1"/>
  <c r="N21" i="1"/>
  <c r="S21" i="1" s="1"/>
  <c r="T21" i="1" s="1"/>
  <c r="U21" i="1" s="1"/>
  <c r="O21" i="1"/>
  <c r="P21" i="1"/>
  <c r="Q21" i="1"/>
  <c r="R21" i="1"/>
  <c r="H22" i="1"/>
  <c r="S22" i="1" s="1"/>
  <c r="T22" i="1" s="1"/>
  <c r="U22" i="1" s="1"/>
  <c r="I22" i="1"/>
  <c r="J22" i="1"/>
  <c r="K22" i="1"/>
  <c r="L22" i="1"/>
  <c r="M22" i="1"/>
  <c r="N22" i="1"/>
  <c r="O22" i="1"/>
  <c r="P22" i="1"/>
  <c r="Q22" i="1"/>
  <c r="R22" i="1"/>
  <c r="H23" i="1"/>
  <c r="S23" i="1" s="1"/>
  <c r="T23" i="1" s="1"/>
  <c r="U23" i="1" s="1"/>
  <c r="I23" i="1"/>
  <c r="J23" i="1"/>
  <c r="K23" i="1"/>
  <c r="L23" i="1"/>
  <c r="M23" i="1"/>
  <c r="N23" i="1"/>
  <c r="O23" i="1"/>
  <c r="P23" i="1"/>
  <c r="Q23" i="1"/>
  <c r="R23" i="1"/>
  <c r="H24" i="1"/>
  <c r="I24" i="1"/>
  <c r="S24" i="1" s="1"/>
  <c r="T24" i="1" s="1"/>
  <c r="U24" i="1" s="1"/>
  <c r="J24" i="1"/>
  <c r="K24" i="1"/>
  <c r="L24" i="1"/>
  <c r="M24" i="1"/>
  <c r="N24" i="1"/>
  <c r="O24" i="1"/>
  <c r="P24" i="1"/>
  <c r="Q24" i="1"/>
  <c r="R24" i="1"/>
  <c r="H25" i="1"/>
  <c r="I25" i="1"/>
  <c r="J25" i="1"/>
  <c r="K25" i="1"/>
  <c r="S25" i="1" s="1"/>
  <c r="T25" i="1" s="1"/>
  <c r="U25" i="1" s="1"/>
  <c r="L25" i="1"/>
  <c r="M25" i="1"/>
  <c r="N25" i="1"/>
  <c r="O25" i="1"/>
  <c r="P25" i="1"/>
  <c r="Q25" i="1"/>
  <c r="R25" i="1"/>
  <c r="H26" i="1"/>
  <c r="S26" i="1" s="1"/>
  <c r="T26" i="1" s="1"/>
  <c r="U26" i="1" s="1"/>
  <c r="I26" i="1"/>
  <c r="J26" i="1"/>
  <c r="K26" i="1"/>
  <c r="L26" i="1"/>
  <c r="M26" i="1"/>
  <c r="N26" i="1"/>
  <c r="O26" i="1"/>
  <c r="P26" i="1"/>
  <c r="Q26" i="1"/>
  <c r="R26" i="1"/>
  <c r="H27" i="1"/>
  <c r="S27" i="1" s="1"/>
  <c r="T27" i="1" s="1"/>
  <c r="U27" i="1" s="1"/>
  <c r="I27" i="1"/>
  <c r="J27" i="1"/>
  <c r="K27" i="1"/>
  <c r="L27" i="1"/>
  <c r="M27" i="1"/>
  <c r="N27" i="1"/>
  <c r="O27" i="1"/>
  <c r="P27" i="1"/>
  <c r="Q27" i="1"/>
  <c r="R27" i="1"/>
  <c r="H28" i="1"/>
  <c r="I28" i="1"/>
  <c r="S28" i="1" s="1"/>
  <c r="T28" i="1" s="1"/>
  <c r="U28" i="1" s="1"/>
  <c r="J28" i="1"/>
  <c r="K28" i="1"/>
  <c r="L28" i="1"/>
  <c r="M28" i="1"/>
  <c r="N28" i="1"/>
  <c r="O28" i="1"/>
  <c r="P28" i="1"/>
  <c r="Q28" i="1"/>
  <c r="R28" i="1"/>
  <c r="H29" i="1"/>
  <c r="I29" i="1"/>
  <c r="J29" i="1"/>
  <c r="K29" i="1"/>
  <c r="L29" i="1"/>
  <c r="M29" i="1"/>
  <c r="N29" i="1"/>
  <c r="S29" i="1" s="1"/>
  <c r="T29" i="1" s="1"/>
  <c r="U29" i="1" s="1"/>
  <c r="O29" i="1"/>
  <c r="P29" i="1"/>
  <c r="Q29" i="1"/>
  <c r="R29" i="1"/>
  <c r="H30" i="1"/>
  <c r="S30" i="1" s="1"/>
  <c r="T30" i="1" s="1"/>
  <c r="U30" i="1" s="1"/>
  <c r="I30" i="1"/>
  <c r="J30" i="1"/>
  <c r="K30" i="1"/>
  <c r="L30" i="1"/>
  <c r="M30" i="1"/>
  <c r="N30" i="1"/>
  <c r="O30" i="1"/>
  <c r="P30" i="1"/>
  <c r="Q30" i="1"/>
  <c r="R30" i="1"/>
  <c r="H31" i="1"/>
  <c r="S31" i="1" s="1"/>
  <c r="T31" i="1" s="1"/>
  <c r="U31" i="1" s="1"/>
  <c r="I31" i="1"/>
  <c r="J31" i="1"/>
  <c r="K31" i="1"/>
  <c r="L31" i="1"/>
  <c r="M31" i="1"/>
  <c r="N31" i="1"/>
  <c r="O31" i="1"/>
  <c r="P31" i="1"/>
  <c r="Q31" i="1"/>
  <c r="R31" i="1"/>
  <c r="H32" i="1"/>
  <c r="I32" i="1"/>
  <c r="S32" i="1" s="1"/>
  <c r="T32" i="1" s="1"/>
  <c r="U32" i="1" s="1"/>
  <c r="J32" i="1"/>
  <c r="K32" i="1"/>
  <c r="L32" i="1"/>
  <c r="M32" i="1"/>
  <c r="N32" i="1"/>
  <c r="O32" i="1"/>
  <c r="P32" i="1"/>
  <c r="Q32" i="1"/>
  <c r="R32" i="1"/>
  <c r="H33" i="1"/>
  <c r="I33" i="1"/>
  <c r="J33" i="1"/>
  <c r="K33" i="1"/>
  <c r="L33" i="1"/>
  <c r="M33" i="1"/>
  <c r="N33" i="1"/>
  <c r="S33" i="1" s="1"/>
  <c r="T33" i="1" s="1"/>
  <c r="U33" i="1" s="1"/>
  <c r="O33" i="1"/>
  <c r="P33" i="1"/>
  <c r="Q33" i="1"/>
  <c r="R33" i="1"/>
  <c r="H34" i="1"/>
  <c r="S34" i="1" s="1"/>
  <c r="T34" i="1" s="1"/>
  <c r="U34" i="1" s="1"/>
  <c r="I34" i="1"/>
  <c r="J34" i="1"/>
  <c r="K34" i="1"/>
  <c r="L34" i="1"/>
  <c r="M34" i="1"/>
  <c r="N34" i="1"/>
  <c r="O34" i="1"/>
  <c r="P34" i="1"/>
  <c r="Q34" i="1"/>
  <c r="R34" i="1"/>
  <c r="H35" i="1"/>
  <c r="S35" i="1" s="1"/>
  <c r="T35" i="1" s="1"/>
  <c r="U35" i="1" s="1"/>
  <c r="I35" i="1"/>
  <c r="J35" i="1"/>
  <c r="K35" i="1"/>
  <c r="L35" i="1"/>
  <c r="M35" i="1"/>
  <c r="N35" i="1"/>
  <c r="O35" i="1"/>
  <c r="P35" i="1"/>
  <c r="Q35" i="1"/>
  <c r="R35" i="1"/>
  <c r="H36" i="1"/>
  <c r="I36" i="1"/>
  <c r="S36" i="1" s="1"/>
  <c r="T36" i="1" s="1"/>
  <c r="U36" i="1" s="1"/>
  <c r="J36" i="1"/>
  <c r="K36" i="1"/>
  <c r="L36" i="1"/>
  <c r="M36" i="1"/>
  <c r="N36" i="1"/>
  <c r="O36" i="1"/>
  <c r="P36" i="1"/>
  <c r="Q36" i="1"/>
  <c r="R36" i="1"/>
  <c r="H37" i="1"/>
  <c r="I37" i="1"/>
  <c r="J37" i="1"/>
  <c r="K37" i="1"/>
  <c r="S37" i="1" s="1"/>
  <c r="T37" i="1" s="1"/>
  <c r="U37" i="1" s="1"/>
  <c r="L37" i="1"/>
  <c r="M37" i="1"/>
  <c r="N37" i="1"/>
  <c r="O37" i="1"/>
  <c r="P37" i="1"/>
  <c r="Q37" i="1"/>
  <c r="R37" i="1"/>
  <c r="H38" i="1"/>
  <c r="S38" i="1" s="1"/>
  <c r="T38" i="1" s="1"/>
  <c r="U38" i="1" s="1"/>
  <c r="I38" i="1"/>
  <c r="J38" i="1"/>
  <c r="K38" i="1"/>
  <c r="L38" i="1"/>
  <c r="M38" i="1"/>
  <c r="N38" i="1"/>
  <c r="O38" i="1"/>
  <c r="P38" i="1"/>
  <c r="Q38" i="1"/>
  <c r="R38" i="1"/>
  <c r="H39" i="1"/>
  <c r="S39" i="1" s="1"/>
  <c r="T39" i="1" s="1"/>
  <c r="U39" i="1" s="1"/>
  <c r="I39" i="1"/>
  <c r="J39" i="1"/>
  <c r="K39" i="1"/>
  <c r="L39" i="1"/>
  <c r="M39" i="1"/>
  <c r="N39" i="1"/>
  <c r="O39" i="1"/>
  <c r="P39" i="1"/>
  <c r="Q39" i="1"/>
  <c r="R39" i="1"/>
  <c r="H40" i="1"/>
  <c r="I40" i="1"/>
  <c r="S40" i="1" s="1"/>
  <c r="T40" i="1" s="1"/>
  <c r="U40" i="1" s="1"/>
  <c r="J40" i="1"/>
  <c r="K40" i="1"/>
  <c r="L40" i="1"/>
  <c r="M40" i="1"/>
  <c r="N40" i="1"/>
  <c r="O40" i="1"/>
  <c r="P40" i="1"/>
  <c r="Q40" i="1"/>
  <c r="R40" i="1"/>
  <c r="H41" i="1"/>
  <c r="I41" i="1"/>
  <c r="J41" i="1"/>
  <c r="K41" i="1"/>
  <c r="S41" i="1" s="1"/>
  <c r="T41" i="1" s="1"/>
  <c r="U41" i="1" s="1"/>
  <c r="L41" i="1"/>
  <c r="M41" i="1"/>
  <c r="N41" i="1"/>
  <c r="O41" i="1"/>
  <c r="P41" i="1"/>
  <c r="Q41" i="1"/>
  <c r="R41" i="1"/>
  <c r="H42" i="1"/>
  <c r="S42" i="1" s="1"/>
  <c r="T42" i="1" s="1"/>
  <c r="U42" i="1" s="1"/>
  <c r="I42" i="1"/>
  <c r="J42" i="1"/>
  <c r="K42" i="1"/>
  <c r="L42" i="1"/>
  <c r="M42" i="1"/>
  <c r="N42" i="1"/>
  <c r="O42" i="1"/>
  <c r="P42" i="1"/>
  <c r="Q42" i="1"/>
  <c r="R42" i="1"/>
  <c r="H43" i="1"/>
  <c r="S43" i="1" s="1"/>
  <c r="T43" i="1" s="1"/>
  <c r="U43" i="1" s="1"/>
  <c r="I43" i="1"/>
  <c r="J43" i="1"/>
  <c r="K43" i="1"/>
  <c r="L43" i="1"/>
  <c r="M43" i="1"/>
  <c r="N43" i="1"/>
  <c r="O43" i="1"/>
  <c r="P43" i="1"/>
  <c r="Q43" i="1"/>
  <c r="R43" i="1"/>
  <c r="H44" i="1"/>
  <c r="I44" i="1"/>
  <c r="S44" i="1" s="1"/>
  <c r="T44" i="1" s="1"/>
  <c r="U44" i="1" s="1"/>
  <c r="J44" i="1"/>
  <c r="K44" i="1"/>
  <c r="L44" i="1"/>
  <c r="M44" i="1"/>
  <c r="N44" i="1"/>
  <c r="O44" i="1"/>
  <c r="P44" i="1"/>
  <c r="Q44" i="1"/>
  <c r="R44" i="1"/>
  <c r="H45" i="1"/>
  <c r="I45" i="1"/>
  <c r="J45" i="1"/>
  <c r="K45" i="1"/>
  <c r="L45" i="1"/>
  <c r="M45" i="1"/>
  <c r="N45" i="1"/>
  <c r="S45" i="1" s="1"/>
  <c r="T45" i="1" s="1"/>
  <c r="U45" i="1" s="1"/>
  <c r="O45" i="1"/>
  <c r="P45" i="1"/>
  <c r="Q45" i="1"/>
  <c r="R45" i="1"/>
  <c r="H46" i="1"/>
  <c r="S46" i="1" s="1"/>
  <c r="T46" i="1" s="1"/>
  <c r="U46" i="1" s="1"/>
  <c r="I46" i="1"/>
  <c r="J46" i="1"/>
  <c r="K46" i="1"/>
  <c r="L46" i="1"/>
  <c r="M46" i="1"/>
  <c r="N46" i="1"/>
  <c r="O46" i="1"/>
  <c r="P46" i="1"/>
  <c r="Q46" i="1"/>
  <c r="R46" i="1"/>
  <c r="H47" i="1"/>
  <c r="S47" i="1" s="1"/>
  <c r="T47" i="1" s="1"/>
  <c r="U47" i="1" s="1"/>
  <c r="I47" i="1"/>
  <c r="J47" i="1"/>
  <c r="K47" i="1"/>
  <c r="L47" i="1"/>
  <c r="M47" i="1"/>
  <c r="N47" i="1"/>
  <c r="O47" i="1"/>
  <c r="P47" i="1"/>
  <c r="Q47" i="1"/>
  <c r="R47" i="1"/>
  <c r="H48" i="1"/>
  <c r="I48" i="1"/>
  <c r="S48" i="1" s="1"/>
  <c r="T48" i="1" s="1"/>
  <c r="U48" i="1" s="1"/>
  <c r="J48" i="1"/>
  <c r="K48" i="1"/>
  <c r="L48" i="1"/>
  <c r="M48" i="1"/>
  <c r="N48" i="1"/>
  <c r="O48" i="1"/>
  <c r="P48" i="1"/>
  <c r="Q48" i="1"/>
  <c r="R48" i="1"/>
  <c r="H49" i="1"/>
  <c r="I49" i="1"/>
  <c r="J49" i="1"/>
  <c r="K49" i="1"/>
  <c r="L49" i="1"/>
  <c r="M49" i="1"/>
  <c r="N49" i="1"/>
  <c r="O49" i="1"/>
  <c r="P49" i="1"/>
  <c r="Q49" i="1"/>
  <c r="R49" i="1"/>
  <c r="S49" i="1"/>
  <c r="T49" i="1" s="1"/>
  <c r="U49" i="1" s="1"/>
  <c r="H50" i="1"/>
  <c r="S50" i="1" s="1"/>
  <c r="T50" i="1" s="1"/>
  <c r="U50" i="1" s="1"/>
  <c r="I50" i="1"/>
  <c r="J50" i="1"/>
  <c r="K50" i="1"/>
  <c r="L50" i="1"/>
  <c r="M50" i="1"/>
  <c r="N50" i="1"/>
  <c r="O50" i="1"/>
  <c r="P50" i="1"/>
  <c r="Q50" i="1"/>
  <c r="R50" i="1"/>
  <c r="H51" i="1"/>
  <c r="S51" i="1" s="1"/>
  <c r="T51" i="1" s="1"/>
  <c r="U51" i="1" s="1"/>
  <c r="I51" i="1"/>
  <c r="J51" i="1"/>
  <c r="K51" i="1"/>
  <c r="L51" i="1"/>
  <c r="M51" i="1"/>
  <c r="N51" i="1"/>
  <c r="O51" i="1"/>
  <c r="P51" i="1"/>
  <c r="Q51" i="1"/>
  <c r="R51" i="1"/>
  <c r="H52" i="1"/>
  <c r="I52" i="1"/>
  <c r="S52" i="1" s="1"/>
  <c r="T52" i="1" s="1"/>
  <c r="U52" i="1" s="1"/>
  <c r="J52" i="1"/>
  <c r="K52" i="1"/>
  <c r="L52" i="1"/>
  <c r="M52" i="1"/>
  <c r="N52" i="1"/>
  <c r="O52" i="1"/>
  <c r="P52" i="1"/>
  <c r="Q52" i="1"/>
  <c r="R52" i="1"/>
  <c r="H53" i="1"/>
  <c r="I53" i="1"/>
  <c r="J53" i="1"/>
  <c r="K53" i="1"/>
  <c r="S53" i="1" s="1"/>
  <c r="T53" i="1" s="1"/>
  <c r="U53" i="1" s="1"/>
  <c r="L53" i="1"/>
  <c r="M53" i="1"/>
  <c r="N53" i="1"/>
  <c r="O53" i="1"/>
  <c r="P53" i="1"/>
  <c r="Q53" i="1"/>
  <c r="R53" i="1"/>
  <c r="H54" i="1"/>
  <c r="S54" i="1" s="1"/>
  <c r="T54" i="1" s="1"/>
  <c r="U54" i="1" s="1"/>
  <c r="I54" i="1"/>
  <c r="J54" i="1"/>
  <c r="K54" i="1"/>
  <c r="L54" i="1"/>
  <c r="M54" i="1"/>
  <c r="N54" i="1"/>
  <c r="O54" i="1"/>
  <c r="P54" i="1"/>
  <c r="Q54" i="1"/>
  <c r="R54" i="1"/>
  <c r="H55" i="1"/>
  <c r="S55" i="1" s="1"/>
  <c r="T55" i="1" s="1"/>
  <c r="U55" i="1" s="1"/>
  <c r="I55" i="1"/>
  <c r="J55" i="1"/>
  <c r="K55" i="1"/>
  <c r="L55" i="1"/>
  <c r="M55" i="1"/>
  <c r="N55" i="1"/>
  <c r="O55" i="1"/>
  <c r="P55" i="1"/>
  <c r="Q55" i="1"/>
  <c r="R55" i="1"/>
  <c r="H56" i="1"/>
  <c r="I56" i="1"/>
  <c r="S56" i="1" s="1"/>
  <c r="T56" i="1" s="1"/>
  <c r="U56" i="1" s="1"/>
  <c r="J56" i="1"/>
  <c r="K56" i="1"/>
  <c r="L56" i="1"/>
  <c r="M56" i="1"/>
  <c r="N56" i="1"/>
  <c r="O56" i="1"/>
  <c r="P56" i="1"/>
  <c r="Q56" i="1"/>
  <c r="R56" i="1"/>
  <c r="H57" i="1"/>
  <c r="I57" i="1"/>
  <c r="J57" i="1"/>
  <c r="K57" i="1"/>
  <c r="L57" i="1"/>
  <c r="S57" i="1" s="1"/>
  <c r="T57" i="1" s="1"/>
  <c r="U57" i="1" s="1"/>
  <c r="M57" i="1"/>
  <c r="N57" i="1"/>
  <c r="O57" i="1"/>
  <c r="P57" i="1"/>
  <c r="Q57" i="1"/>
  <c r="R57" i="1"/>
  <c r="H58" i="1"/>
  <c r="S58" i="1" s="1"/>
  <c r="T58" i="1" s="1"/>
  <c r="U58" i="1" s="1"/>
  <c r="I58" i="1"/>
  <c r="J58" i="1"/>
  <c r="K58" i="1"/>
  <c r="L58" i="1"/>
  <c r="M58" i="1"/>
  <c r="N58" i="1"/>
  <c r="O58" i="1"/>
  <c r="P58" i="1"/>
  <c r="Q58" i="1"/>
  <c r="R58" i="1"/>
  <c r="H59" i="1"/>
  <c r="S59" i="1" s="1"/>
  <c r="T59" i="1" s="1"/>
  <c r="U59" i="1" s="1"/>
  <c r="I59" i="1"/>
  <c r="J59" i="1"/>
  <c r="K59" i="1"/>
  <c r="L59" i="1"/>
  <c r="M59" i="1"/>
  <c r="N59" i="1"/>
  <c r="O59" i="1"/>
  <c r="P59" i="1"/>
  <c r="Q59" i="1"/>
  <c r="R59" i="1"/>
  <c r="H60" i="1"/>
  <c r="I60" i="1"/>
  <c r="S60" i="1" s="1"/>
  <c r="T60" i="1" s="1"/>
  <c r="U60" i="1" s="1"/>
  <c r="J60" i="1"/>
  <c r="K60" i="1"/>
  <c r="L60" i="1"/>
  <c r="M60" i="1"/>
  <c r="N60" i="1"/>
  <c r="O60" i="1"/>
  <c r="P60" i="1"/>
  <c r="Q60" i="1"/>
  <c r="R60" i="1"/>
  <c r="H61" i="1"/>
  <c r="I61" i="1"/>
  <c r="J61" i="1"/>
  <c r="K61" i="1"/>
  <c r="S61" i="1" s="1"/>
  <c r="T61" i="1" s="1"/>
  <c r="U61" i="1" s="1"/>
  <c r="L61" i="1"/>
  <c r="M61" i="1"/>
  <c r="N61" i="1"/>
  <c r="O61" i="1"/>
  <c r="P61" i="1"/>
  <c r="Q61" i="1"/>
  <c r="R61" i="1"/>
  <c r="H62" i="1"/>
  <c r="S62" i="1" s="1"/>
  <c r="T62" i="1" s="1"/>
  <c r="U62" i="1" s="1"/>
  <c r="I62" i="1"/>
  <c r="J62" i="1"/>
  <c r="K62" i="1"/>
  <c r="L62" i="1"/>
  <c r="M62" i="1"/>
  <c r="N62" i="1"/>
  <c r="O62" i="1"/>
  <c r="P62" i="1"/>
  <c r="Q62" i="1"/>
  <c r="R62" i="1"/>
  <c r="H63" i="1"/>
  <c r="S63" i="1" s="1"/>
  <c r="T63" i="1" s="1"/>
  <c r="U63" i="1" s="1"/>
  <c r="I63" i="1"/>
  <c r="J63" i="1"/>
  <c r="K63" i="1"/>
  <c r="L63" i="1"/>
  <c r="M63" i="1"/>
  <c r="N63" i="1"/>
  <c r="O63" i="1"/>
  <c r="P63" i="1"/>
  <c r="Q63" i="1"/>
  <c r="R63" i="1"/>
  <c r="H64" i="1"/>
  <c r="I64" i="1"/>
  <c r="S64" i="1" s="1"/>
  <c r="T64" i="1" s="1"/>
  <c r="U64" i="1" s="1"/>
  <c r="J64" i="1"/>
  <c r="K64" i="1"/>
  <c r="L64" i="1"/>
  <c r="M64" i="1"/>
  <c r="N64" i="1"/>
  <c r="O64" i="1"/>
  <c r="P64" i="1"/>
  <c r="Q64" i="1"/>
  <c r="R64" i="1"/>
  <c r="H65" i="1"/>
  <c r="I65" i="1"/>
  <c r="J65" i="1"/>
  <c r="K65" i="1"/>
  <c r="S65" i="1" s="1"/>
  <c r="T65" i="1" s="1"/>
  <c r="U65" i="1" s="1"/>
  <c r="L65" i="1"/>
  <c r="M65" i="1"/>
  <c r="N65" i="1"/>
  <c r="O65" i="1"/>
  <c r="P65" i="1"/>
  <c r="Q65" i="1"/>
  <c r="R65" i="1"/>
  <c r="H66" i="1"/>
  <c r="S66" i="1" s="1"/>
  <c r="T66" i="1" s="1"/>
  <c r="U66" i="1" s="1"/>
  <c r="I66" i="1"/>
  <c r="J66" i="1"/>
  <c r="K66" i="1"/>
  <c r="L66" i="1"/>
  <c r="M66" i="1"/>
  <c r="N66" i="1"/>
  <c r="O66" i="1"/>
  <c r="P66" i="1"/>
  <c r="Q66" i="1"/>
  <c r="R66" i="1"/>
  <c r="H67" i="1"/>
  <c r="S67" i="1" s="1"/>
  <c r="T67" i="1" s="1"/>
  <c r="U67" i="1" s="1"/>
  <c r="I67" i="1"/>
  <c r="J67" i="1"/>
  <c r="K67" i="1"/>
  <c r="L67" i="1"/>
  <c r="M67" i="1"/>
  <c r="N67" i="1"/>
  <c r="O67" i="1"/>
  <c r="P67" i="1"/>
  <c r="Q67" i="1"/>
  <c r="R67" i="1"/>
  <c r="H68" i="1"/>
  <c r="I68" i="1"/>
  <c r="S68" i="1" s="1"/>
  <c r="T68" i="1" s="1"/>
  <c r="U68" i="1" s="1"/>
  <c r="J68" i="1"/>
  <c r="K68" i="1"/>
  <c r="L68" i="1"/>
  <c r="M68" i="1"/>
  <c r="N68" i="1"/>
  <c r="O68" i="1"/>
  <c r="P68" i="1"/>
  <c r="Q68" i="1"/>
  <c r="R68" i="1"/>
  <c r="H69" i="1"/>
  <c r="I69" i="1"/>
  <c r="J69" i="1"/>
  <c r="K69" i="1"/>
  <c r="L69" i="1"/>
  <c r="S69" i="1" s="1"/>
  <c r="T69" i="1" s="1"/>
  <c r="U69" i="1" s="1"/>
  <c r="M69" i="1"/>
  <c r="N69" i="1"/>
  <c r="O69" i="1"/>
  <c r="P69" i="1"/>
  <c r="Q69" i="1"/>
  <c r="R69" i="1"/>
  <c r="H70" i="1"/>
  <c r="S70" i="1" s="1"/>
  <c r="T70" i="1" s="1"/>
  <c r="U70" i="1" s="1"/>
  <c r="I70" i="1"/>
  <c r="J70" i="1"/>
  <c r="K70" i="1"/>
  <c r="L70" i="1"/>
  <c r="M70" i="1"/>
  <c r="N70" i="1"/>
  <c r="O70" i="1"/>
  <c r="P70" i="1"/>
  <c r="Q70" i="1"/>
  <c r="R70" i="1"/>
  <c r="H71" i="1"/>
  <c r="S71" i="1" s="1"/>
  <c r="T71" i="1" s="1"/>
  <c r="U71" i="1" s="1"/>
  <c r="I71" i="1"/>
  <c r="J71" i="1"/>
  <c r="K71" i="1"/>
  <c r="L71" i="1"/>
  <c r="M71" i="1"/>
  <c r="N71" i="1"/>
  <c r="O71" i="1"/>
  <c r="P71" i="1"/>
  <c r="Q71" i="1"/>
  <c r="R71" i="1"/>
  <c r="H72" i="1"/>
  <c r="I72" i="1"/>
  <c r="S72" i="1" s="1"/>
  <c r="T72" i="1" s="1"/>
  <c r="U72" i="1" s="1"/>
  <c r="J72" i="1"/>
  <c r="K72" i="1"/>
  <c r="L72" i="1"/>
  <c r="M72" i="1"/>
  <c r="N72" i="1"/>
  <c r="O72" i="1"/>
  <c r="P72" i="1"/>
  <c r="Q72" i="1"/>
  <c r="R72" i="1"/>
  <c r="H73" i="1"/>
  <c r="I73" i="1"/>
  <c r="J73" i="1"/>
  <c r="K73" i="1"/>
  <c r="S73" i="1" s="1"/>
  <c r="T73" i="1" s="1"/>
  <c r="U73" i="1" s="1"/>
  <c r="L73" i="1"/>
  <c r="M73" i="1"/>
  <c r="N73" i="1"/>
  <c r="O73" i="1"/>
  <c r="P73" i="1"/>
  <c r="Q73" i="1"/>
  <c r="R73" i="1"/>
  <c r="H74" i="1"/>
  <c r="S74" i="1" s="1"/>
  <c r="T74" i="1" s="1"/>
  <c r="U74" i="1" s="1"/>
  <c r="I74" i="1"/>
  <c r="J74" i="1"/>
  <c r="K74" i="1"/>
  <c r="L74" i="1"/>
  <c r="M74" i="1"/>
  <c r="N74" i="1"/>
  <c r="O74" i="1"/>
  <c r="P74" i="1"/>
  <c r="Q74" i="1"/>
  <c r="R74" i="1"/>
  <c r="H75" i="1"/>
  <c r="S75" i="1" s="1"/>
  <c r="T75" i="1" s="1"/>
  <c r="U75" i="1" s="1"/>
  <c r="I75" i="1"/>
  <c r="J75" i="1"/>
  <c r="K75" i="1"/>
  <c r="L75" i="1"/>
  <c r="M75" i="1"/>
  <c r="N75" i="1"/>
  <c r="O75" i="1"/>
  <c r="P75" i="1"/>
  <c r="Q75" i="1"/>
  <c r="R75" i="1"/>
  <c r="H76" i="1"/>
  <c r="I76" i="1"/>
  <c r="S76" i="1" s="1"/>
  <c r="T76" i="1" s="1"/>
  <c r="U76" i="1" s="1"/>
  <c r="J76" i="1"/>
  <c r="K76" i="1"/>
  <c r="L76" i="1"/>
  <c r="M76" i="1"/>
  <c r="N76" i="1"/>
  <c r="O76" i="1"/>
  <c r="P76" i="1"/>
  <c r="Q76" i="1"/>
  <c r="R76" i="1"/>
  <c r="H77" i="1"/>
  <c r="I77" i="1"/>
  <c r="J77" i="1"/>
  <c r="K77" i="1"/>
  <c r="S77" i="1" s="1"/>
  <c r="T77" i="1" s="1"/>
  <c r="U77" i="1" s="1"/>
  <c r="L77" i="1"/>
  <c r="M77" i="1"/>
  <c r="N77" i="1"/>
  <c r="O77" i="1"/>
  <c r="P77" i="1"/>
  <c r="Q77" i="1"/>
  <c r="R77" i="1"/>
  <c r="H78" i="1"/>
  <c r="S78" i="1" s="1"/>
  <c r="T78" i="1" s="1"/>
  <c r="U78" i="1" s="1"/>
  <c r="I78" i="1"/>
  <c r="J78" i="1"/>
  <c r="K78" i="1"/>
  <c r="L78" i="1"/>
  <c r="M78" i="1"/>
  <c r="N78" i="1"/>
  <c r="O78" i="1"/>
  <c r="P78" i="1"/>
  <c r="Q78" i="1"/>
  <c r="R78" i="1"/>
  <c r="H79" i="1"/>
  <c r="S79" i="1" s="1"/>
  <c r="T79" i="1" s="1"/>
  <c r="U79" i="1" s="1"/>
  <c r="I79" i="1"/>
  <c r="J79" i="1"/>
  <c r="K79" i="1"/>
  <c r="L79" i="1"/>
  <c r="M79" i="1"/>
  <c r="N79" i="1"/>
  <c r="O79" i="1"/>
  <c r="P79" i="1"/>
  <c r="Q79" i="1"/>
  <c r="R79" i="1"/>
  <c r="H80" i="1"/>
  <c r="I80" i="1"/>
  <c r="S80" i="1" s="1"/>
  <c r="T80" i="1" s="1"/>
  <c r="U80" i="1" s="1"/>
  <c r="J80" i="1"/>
  <c r="K80" i="1"/>
  <c r="L80" i="1"/>
  <c r="M80" i="1"/>
  <c r="N80" i="1"/>
  <c r="O80" i="1"/>
  <c r="P80" i="1"/>
  <c r="Q80" i="1"/>
  <c r="R80" i="1"/>
  <c r="H81" i="1"/>
  <c r="I81" i="1"/>
  <c r="J81" i="1"/>
  <c r="K81" i="1"/>
  <c r="S81" i="1" s="1"/>
  <c r="T81" i="1" s="1"/>
  <c r="U81" i="1" s="1"/>
  <c r="L81" i="1"/>
  <c r="M81" i="1"/>
  <c r="N81" i="1"/>
  <c r="O81" i="1"/>
  <c r="P81" i="1"/>
  <c r="Q81" i="1"/>
  <c r="R81" i="1"/>
  <c r="H82" i="1"/>
  <c r="S82" i="1" s="1"/>
  <c r="T82" i="1" s="1"/>
  <c r="U82" i="1" s="1"/>
  <c r="I82" i="1"/>
  <c r="J82" i="1"/>
  <c r="K82" i="1"/>
  <c r="L82" i="1"/>
  <c r="M82" i="1"/>
  <c r="N82" i="1"/>
  <c r="O82" i="1"/>
  <c r="P82" i="1"/>
  <c r="Q82" i="1"/>
  <c r="R82" i="1"/>
  <c r="H83" i="1"/>
  <c r="S83" i="1" s="1"/>
  <c r="T83" i="1" s="1"/>
  <c r="U83" i="1" s="1"/>
  <c r="I83" i="1"/>
  <c r="J83" i="1"/>
  <c r="K83" i="1"/>
  <c r="L83" i="1"/>
  <c r="M83" i="1"/>
  <c r="N83" i="1"/>
  <c r="O83" i="1"/>
  <c r="P83" i="1"/>
  <c r="Q83" i="1"/>
  <c r="R83" i="1"/>
  <c r="H84" i="1"/>
  <c r="I84" i="1"/>
  <c r="S84" i="1" s="1"/>
  <c r="T84" i="1" s="1"/>
  <c r="U84" i="1" s="1"/>
  <c r="J84" i="1"/>
  <c r="K84" i="1"/>
  <c r="L84" i="1"/>
  <c r="M84" i="1"/>
  <c r="N84" i="1"/>
  <c r="O84" i="1"/>
  <c r="P84" i="1"/>
  <c r="Q84" i="1"/>
  <c r="R84" i="1"/>
  <c r="H85" i="1"/>
  <c r="I85" i="1"/>
  <c r="J85" i="1"/>
  <c r="K85" i="1"/>
  <c r="L85" i="1"/>
  <c r="S85" i="1" s="1"/>
  <c r="T85" i="1" s="1"/>
  <c r="U85" i="1" s="1"/>
  <c r="M85" i="1"/>
  <c r="N85" i="1"/>
  <c r="O85" i="1"/>
  <c r="P85" i="1"/>
  <c r="Q85" i="1"/>
  <c r="R85" i="1"/>
  <c r="H86" i="1"/>
  <c r="S86" i="1" s="1"/>
  <c r="T86" i="1" s="1"/>
  <c r="U86" i="1" s="1"/>
  <c r="I86" i="1"/>
  <c r="J86" i="1"/>
  <c r="K86" i="1"/>
  <c r="L86" i="1"/>
  <c r="M86" i="1"/>
  <c r="N86" i="1"/>
  <c r="O86" i="1"/>
  <c r="P86" i="1"/>
  <c r="Q86" i="1"/>
  <c r="R86" i="1"/>
  <c r="H87" i="1"/>
  <c r="S87" i="1" s="1"/>
  <c r="T87" i="1" s="1"/>
  <c r="U87" i="1" s="1"/>
  <c r="I87" i="1"/>
  <c r="J87" i="1"/>
  <c r="K87" i="1"/>
  <c r="L87" i="1"/>
  <c r="M87" i="1"/>
  <c r="N87" i="1"/>
  <c r="O87" i="1"/>
  <c r="P87" i="1"/>
  <c r="Q87" i="1"/>
  <c r="R87" i="1"/>
  <c r="H88" i="1"/>
  <c r="I88" i="1"/>
  <c r="S88" i="1" s="1"/>
  <c r="T88" i="1" s="1"/>
  <c r="U88" i="1" s="1"/>
  <c r="J88" i="1"/>
  <c r="K88" i="1"/>
  <c r="L88" i="1"/>
  <c r="M88" i="1"/>
  <c r="N88" i="1"/>
  <c r="O88" i="1"/>
  <c r="P88" i="1"/>
  <c r="Q88" i="1"/>
  <c r="R88" i="1"/>
  <c r="H89" i="1"/>
  <c r="I89" i="1"/>
  <c r="J89" i="1"/>
  <c r="K89" i="1"/>
  <c r="S89" i="1" s="1"/>
  <c r="L89" i="1"/>
  <c r="M89" i="1"/>
  <c r="N89" i="1"/>
  <c r="O89" i="1"/>
  <c r="P89" i="1"/>
  <c r="Q89" i="1"/>
  <c r="R89" i="1"/>
  <c r="T89" i="1"/>
  <c r="U89" i="1" s="1"/>
  <c r="H90" i="1"/>
  <c r="I90" i="1"/>
  <c r="J90" i="1"/>
  <c r="K90" i="1"/>
  <c r="L90" i="1"/>
  <c r="M90" i="1"/>
  <c r="N90" i="1"/>
  <c r="O90" i="1"/>
  <c r="P90" i="1"/>
  <c r="Q90" i="1"/>
  <c r="R90" i="1"/>
  <c r="H91" i="1"/>
  <c r="I91" i="1"/>
  <c r="J91" i="1"/>
  <c r="K91" i="1"/>
  <c r="L91" i="1"/>
  <c r="M91" i="1"/>
  <c r="N91" i="1"/>
  <c r="O91" i="1"/>
  <c r="P91" i="1"/>
  <c r="Q91" i="1"/>
  <c r="R91" i="1"/>
  <c r="H92" i="1"/>
  <c r="I92" i="1"/>
  <c r="S92" i="1" s="1"/>
  <c r="T92" i="1" s="1"/>
  <c r="U92" i="1" s="1"/>
  <c r="J92" i="1"/>
  <c r="K92" i="1"/>
  <c r="L92" i="1"/>
  <c r="M92" i="1"/>
  <c r="N92" i="1"/>
  <c r="O92" i="1"/>
  <c r="P92" i="1"/>
  <c r="Q92" i="1"/>
  <c r="R92" i="1"/>
  <c r="H93" i="1"/>
  <c r="I93" i="1"/>
  <c r="J93" i="1"/>
  <c r="K93" i="1"/>
  <c r="L93" i="1"/>
  <c r="S93" i="1" s="1"/>
  <c r="M93" i="1"/>
  <c r="N93" i="1"/>
  <c r="O93" i="1"/>
  <c r="P93" i="1"/>
  <c r="Q93" i="1"/>
  <c r="R93" i="1"/>
  <c r="T93" i="1"/>
  <c r="U93" i="1" s="1"/>
  <c r="H94" i="1"/>
  <c r="I94" i="1"/>
  <c r="J94" i="1"/>
  <c r="K94" i="1"/>
  <c r="L94" i="1"/>
  <c r="M94" i="1"/>
  <c r="N94" i="1"/>
  <c r="O94" i="1"/>
  <c r="P94" i="1"/>
  <c r="Q94" i="1"/>
  <c r="R94" i="1"/>
  <c r="H95" i="1"/>
  <c r="I95" i="1"/>
  <c r="J95" i="1"/>
  <c r="K95" i="1"/>
  <c r="L95" i="1"/>
  <c r="M95" i="1"/>
  <c r="N95" i="1"/>
  <c r="O95" i="1"/>
  <c r="P95" i="1"/>
  <c r="Q95" i="1"/>
  <c r="R95" i="1"/>
  <c r="H96" i="1"/>
  <c r="I96" i="1"/>
  <c r="S96" i="1" s="1"/>
  <c r="T96" i="1" s="1"/>
  <c r="U96" i="1" s="1"/>
  <c r="J96" i="1"/>
  <c r="K96" i="1"/>
  <c r="L96" i="1"/>
  <c r="M96" i="1"/>
  <c r="N96" i="1"/>
  <c r="O96" i="1"/>
  <c r="P96" i="1"/>
  <c r="Q96" i="1"/>
  <c r="R96" i="1"/>
  <c r="H97" i="1"/>
  <c r="I97" i="1"/>
  <c r="J97" i="1"/>
  <c r="K97" i="1"/>
  <c r="L97" i="1"/>
  <c r="S97" i="1" s="1"/>
  <c r="T97" i="1" s="1"/>
  <c r="U97" i="1" s="1"/>
  <c r="M97" i="1"/>
  <c r="N97" i="1"/>
  <c r="O97" i="1"/>
  <c r="P97" i="1"/>
  <c r="Q97" i="1"/>
  <c r="R97" i="1"/>
  <c r="H98" i="1"/>
  <c r="S98" i="1" s="1"/>
  <c r="T98" i="1" s="1"/>
  <c r="U98" i="1" s="1"/>
  <c r="I98" i="1"/>
  <c r="J98" i="1"/>
  <c r="K98" i="1"/>
  <c r="L98" i="1"/>
  <c r="M98" i="1"/>
  <c r="N98" i="1"/>
  <c r="O98" i="1"/>
  <c r="P98" i="1"/>
  <c r="Q98" i="1"/>
  <c r="R98" i="1"/>
  <c r="H99" i="1"/>
  <c r="I99" i="1"/>
  <c r="J99" i="1"/>
  <c r="K99" i="1"/>
  <c r="L99" i="1"/>
  <c r="M99" i="1"/>
  <c r="N99" i="1"/>
  <c r="O99" i="1"/>
  <c r="P99" i="1"/>
  <c r="Q99" i="1"/>
  <c r="R99" i="1"/>
  <c r="H100" i="1"/>
  <c r="I100" i="1"/>
  <c r="J100" i="1"/>
  <c r="K100" i="1"/>
  <c r="L100" i="1"/>
  <c r="M100" i="1"/>
  <c r="N100" i="1"/>
  <c r="O100" i="1"/>
  <c r="P100" i="1"/>
  <c r="Q100" i="1"/>
  <c r="R100" i="1"/>
  <c r="H101" i="1"/>
  <c r="I101" i="1"/>
  <c r="J101" i="1"/>
  <c r="K101" i="1"/>
  <c r="L101" i="1"/>
  <c r="S101" i="1" s="1"/>
  <c r="M101" i="1"/>
  <c r="N101" i="1"/>
  <c r="O101" i="1"/>
  <c r="P101" i="1"/>
  <c r="Q101" i="1"/>
  <c r="R101" i="1"/>
  <c r="T101" i="1"/>
  <c r="U101" i="1" s="1"/>
  <c r="H102" i="1"/>
  <c r="I102" i="1"/>
  <c r="J102" i="1"/>
  <c r="K102" i="1"/>
  <c r="L102" i="1"/>
  <c r="M102" i="1"/>
  <c r="N102" i="1"/>
  <c r="O102" i="1"/>
  <c r="P102" i="1"/>
  <c r="Q102" i="1"/>
  <c r="R102" i="1"/>
  <c r="H103" i="1"/>
  <c r="I103" i="1"/>
  <c r="J103" i="1"/>
  <c r="K103" i="1"/>
  <c r="L103" i="1"/>
  <c r="M103" i="1"/>
  <c r="N103" i="1"/>
  <c r="O103" i="1"/>
  <c r="P103" i="1"/>
  <c r="Q103" i="1"/>
  <c r="R103" i="1"/>
  <c r="H104" i="1"/>
  <c r="I104" i="1"/>
  <c r="S104" i="1" s="1"/>
  <c r="T104" i="1" s="1"/>
  <c r="U104" i="1" s="1"/>
  <c r="J104" i="1"/>
  <c r="K104" i="1"/>
  <c r="L104" i="1"/>
  <c r="M104" i="1"/>
  <c r="N104" i="1"/>
  <c r="O104" i="1"/>
  <c r="P104" i="1"/>
  <c r="Q104" i="1"/>
  <c r="R104" i="1"/>
  <c r="H105" i="1"/>
  <c r="I105" i="1"/>
  <c r="J105" i="1"/>
  <c r="K105" i="1"/>
  <c r="L105" i="1"/>
  <c r="S105" i="1" s="1"/>
  <c r="T105" i="1" s="1"/>
  <c r="U105" i="1" s="1"/>
  <c r="M105" i="1"/>
  <c r="N105" i="1"/>
  <c r="O105" i="1"/>
  <c r="P105" i="1"/>
  <c r="Q105" i="1"/>
  <c r="R105" i="1"/>
  <c r="H106" i="1"/>
  <c r="S106" i="1" s="1"/>
  <c r="T106" i="1" s="1"/>
  <c r="U106" i="1" s="1"/>
  <c r="I106" i="1"/>
  <c r="J106" i="1"/>
  <c r="K106" i="1"/>
  <c r="L106" i="1"/>
  <c r="M106" i="1"/>
  <c r="N106" i="1"/>
  <c r="O106" i="1"/>
  <c r="P106" i="1"/>
  <c r="Q106" i="1"/>
  <c r="R106" i="1"/>
  <c r="H107" i="1"/>
  <c r="I107" i="1"/>
  <c r="J107" i="1"/>
  <c r="K107" i="1"/>
  <c r="L107" i="1"/>
  <c r="M107" i="1"/>
  <c r="N107" i="1"/>
  <c r="O107" i="1"/>
  <c r="P107" i="1"/>
  <c r="Q107" i="1"/>
  <c r="R107" i="1"/>
  <c r="H108" i="1"/>
  <c r="I108" i="1"/>
  <c r="J108" i="1"/>
  <c r="K108" i="1"/>
  <c r="L108" i="1"/>
  <c r="M108" i="1"/>
  <c r="N108" i="1"/>
  <c r="O108" i="1"/>
  <c r="P108" i="1"/>
  <c r="Q108" i="1"/>
  <c r="R108" i="1"/>
  <c r="H109" i="1"/>
  <c r="I109" i="1"/>
  <c r="J109" i="1"/>
  <c r="K109" i="1"/>
  <c r="L109" i="1"/>
  <c r="S109" i="1" s="1"/>
  <c r="T109" i="1" s="1"/>
  <c r="U109" i="1" s="1"/>
  <c r="M109" i="1"/>
  <c r="N109" i="1"/>
  <c r="O109" i="1"/>
  <c r="P109" i="1"/>
  <c r="Q109" i="1"/>
  <c r="R109" i="1"/>
  <c r="H110" i="1"/>
  <c r="S110" i="1" s="1"/>
  <c r="T110" i="1" s="1"/>
  <c r="U110" i="1" s="1"/>
  <c r="I110" i="1"/>
  <c r="J110" i="1"/>
  <c r="K110" i="1"/>
  <c r="L110" i="1"/>
  <c r="M110" i="1"/>
  <c r="N110" i="1"/>
  <c r="O110" i="1"/>
  <c r="P110" i="1"/>
  <c r="Q110" i="1"/>
  <c r="R110" i="1"/>
  <c r="H111" i="1"/>
  <c r="S111" i="1" s="1"/>
  <c r="T111" i="1" s="1"/>
  <c r="U111" i="1" s="1"/>
  <c r="I111" i="1"/>
  <c r="J111" i="1"/>
  <c r="K111" i="1"/>
  <c r="L111" i="1"/>
  <c r="M111" i="1"/>
  <c r="N111" i="1"/>
  <c r="O111" i="1"/>
  <c r="P111" i="1"/>
  <c r="Q111" i="1"/>
  <c r="R111" i="1"/>
  <c r="H112" i="1"/>
  <c r="I112" i="1"/>
  <c r="J112" i="1"/>
  <c r="K112" i="1"/>
  <c r="L112" i="1"/>
  <c r="M112" i="1"/>
  <c r="N112" i="1"/>
  <c r="O112" i="1"/>
  <c r="P112" i="1"/>
  <c r="Q112" i="1"/>
  <c r="R112" i="1"/>
  <c r="H113" i="1"/>
  <c r="I113" i="1"/>
  <c r="J113" i="1"/>
  <c r="K113" i="1"/>
  <c r="L113" i="1"/>
  <c r="M113" i="1"/>
  <c r="N113" i="1"/>
  <c r="O113" i="1"/>
  <c r="P113" i="1"/>
  <c r="Q113" i="1"/>
  <c r="R113" i="1"/>
  <c r="H114" i="1"/>
  <c r="S114" i="1" s="1"/>
  <c r="T114" i="1" s="1"/>
  <c r="U114" i="1" s="1"/>
  <c r="I114" i="1"/>
  <c r="J114" i="1"/>
  <c r="K114" i="1"/>
  <c r="L114" i="1"/>
  <c r="M114" i="1"/>
  <c r="N114" i="1"/>
  <c r="O114" i="1"/>
  <c r="P114" i="1"/>
  <c r="Q114" i="1"/>
  <c r="R114" i="1"/>
  <c r="H115" i="1"/>
  <c r="I115" i="1"/>
  <c r="J115" i="1"/>
  <c r="K115" i="1"/>
  <c r="L115" i="1"/>
  <c r="M115" i="1"/>
  <c r="N115" i="1"/>
  <c r="O115" i="1"/>
  <c r="P115" i="1"/>
  <c r="Q115" i="1"/>
  <c r="R115" i="1"/>
  <c r="H116" i="1"/>
  <c r="I116" i="1"/>
  <c r="J116" i="1"/>
  <c r="K116" i="1"/>
  <c r="L116" i="1"/>
  <c r="M116" i="1"/>
  <c r="N116" i="1"/>
  <c r="O116" i="1"/>
  <c r="P116" i="1"/>
  <c r="Q116" i="1"/>
  <c r="R116" i="1"/>
  <c r="H117" i="1"/>
  <c r="I117" i="1"/>
  <c r="J117" i="1"/>
  <c r="K117" i="1"/>
  <c r="L117" i="1"/>
  <c r="M117" i="1"/>
  <c r="N117" i="1"/>
  <c r="O117" i="1"/>
  <c r="P117" i="1"/>
  <c r="Q117" i="1"/>
  <c r="R117" i="1"/>
  <c r="H118" i="1"/>
  <c r="I118" i="1"/>
  <c r="J118" i="1"/>
  <c r="K118" i="1"/>
  <c r="L118" i="1"/>
  <c r="M118" i="1"/>
  <c r="N118" i="1"/>
  <c r="O118" i="1"/>
  <c r="P118" i="1"/>
  <c r="Q118" i="1"/>
  <c r="R118" i="1"/>
  <c r="H119" i="1"/>
  <c r="I119" i="1"/>
  <c r="J119" i="1"/>
  <c r="K119" i="1"/>
  <c r="L119" i="1"/>
  <c r="M119" i="1"/>
  <c r="N119" i="1"/>
  <c r="O119" i="1"/>
  <c r="P119" i="1"/>
  <c r="Q119" i="1"/>
  <c r="R119" i="1"/>
  <c r="H120" i="1"/>
  <c r="I120" i="1"/>
  <c r="J120" i="1"/>
  <c r="K120" i="1"/>
  <c r="L120" i="1"/>
  <c r="M120" i="1"/>
  <c r="N120" i="1"/>
  <c r="O120" i="1"/>
  <c r="P120" i="1"/>
  <c r="Q120" i="1"/>
  <c r="R120" i="1"/>
  <c r="H121" i="1"/>
  <c r="I121" i="1"/>
  <c r="J121" i="1"/>
  <c r="K121" i="1"/>
  <c r="L121" i="1"/>
  <c r="S121" i="1" s="1"/>
  <c r="T121" i="1" s="1"/>
  <c r="U121" i="1" s="1"/>
  <c r="M121" i="1"/>
  <c r="N121" i="1"/>
  <c r="O121" i="1"/>
  <c r="P121" i="1"/>
  <c r="Q121" i="1"/>
  <c r="R121" i="1"/>
  <c r="H122" i="1"/>
  <c r="I122" i="1"/>
  <c r="J122" i="1"/>
  <c r="K122" i="1"/>
  <c r="L122" i="1"/>
  <c r="M122" i="1"/>
  <c r="N122" i="1"/>
  <c r="O122" i="1"/>
  <c r="P122" i="1"/>
  <c r="Q122" i="1"/>
  <c r="R122" i="1"/>
  <c r="H123" i="1"/>
  <c r="I123" i="1"/>
  <c r="J123" i="1"/>
  <c r="K123" i="1"/>
  <c r="L123" i="1"/>
  <c r="M123" i="1"/>
  <c r="N123" i="1"/>
  <c r="O123" i="1"/>
  <c r="P123" i="1"/>
  <c r="Q123" i="1"/>
  <c r="R123" i="1"/>
  <c r="H124" i="1"/>
  <c r="I124" i="1"/>
  <c r="J124" i="1"/>
  <c r="K124" i="1"/>
  <c r="L124" i="1"/>
  <c r="M124" i="1"/>
  <c r="N124" i="1"/>
  <c r="O124" i="1"/>
  <c r="P124" i="1"/>
  <c r="Q124" i="1"/>
  <c r="R124" i="1"/>
  <c r="H125" i="1"/>
  <c r="I125" i="1"/>
  <c r="J125" i="1"/>
  <c r="K125" i="1"/>
  <c r="L125" i="1"/>
  <c r="S125" i="1" s="1"/>
  <c r="T125" i="1" s="1"/>
  <c r="U125" i="1" s="1"/>
  <c r="M125" i="1"/>
  <c r="N125" i="1"/>
  <c r="O125" i="1"/>
  <c r="P125" i="1"/>
  <c r="Q125" i="1"/>
  <c r="R125" i="1"/>
  <c r="H126" i="1"/>
  <c r="I126" i="1"/>
  <c r="J126" i="1"/>
  <c r="K126" i="1"/>
  <c r="L126" i="1"/>
  <c r="M126" i="1"/>
  <c r="N126" i="1"/>
  <c r="O126" i="1"/>
  <c r="P126" i="1"/>
  <c r="Q126" i="1"/>
  <c r="R126" i="1"/>
  <c r="H127" i="1"/>
  <c r="I127" i="1"/>
  <c r="J127" i="1"/>
  <c r="K127" i="1"/>
  <c r="L127" i="1"/>
  <c r="M127" i="1"/>
  <c r="N127" i="1"/>
  <c r="O127" i="1"/>
  <c r="P127" i="1"/>
  <c r="Q127" i="1"/>
  <c r="R127" i="1"/>
  <c r="H128" i="1"/>
  <c r="I128" i="1"/>
  <c r="J128" i="1"/>
  <c r="K128" i="1"/>
  <c r="L128" i="1"/>
  <c r="M128" i="1"/>
  <c r="N128" i="1"/>
  <c r="O128" i="1"/>
  <c r="P128" i="1"/>
  <c r="Q128" i="1"/>
  <c r="R128" i="1"/>
  <c r="H129" i="1"/>
  <c r="I129" i="1"/>
  <c r="J129" i="1"/>
  <c r="K129" i="1"/>
  <c r="L129" i="1"/>
  <c r="S129" i="1" s="1"/>
  <c r="T129" i="1" s="1"/>
  <c r="U129" i="1" s="1"/>
  <c r="M129" i="1"/>
  <c r="N129" i="1"/>
  <c r="O129" i="1"/>
  <c r="P129" i="1"/>
  <c r="Q129" i="1"/>
  <c r="R129" i="1"/>
  <c r="H130" i="1"/>
  <c r="I130" i="1"/>
  <c r="J130" i="1"/>
  <c r="K130" i="1"/>
  <c r="L130" i="1"/>
  <c r="M130" i="1"/>
  <c r="N130" i="1"/>
  <c r="O130" i="1"/>
  <c r="P130" i="1"/>
  <c r="Q130" i="1"/>
  <c r="R130" i="1"/>
  <c r="H131" i="1"/>
  <c r="I131" i="1"/>
  <c r="J131" i="1"/>
  <c r="K131" i="1"/>
  <c r="L131" i="1"/>
  <c r="M131" i="1"/>
  <c r="N131" i="1"/>
  <c r="O131" i="1"/>
  <c r="P131" i="1"/>
  <c r="Q131" i="1"/>
  <c r="R131" i="1"/>
  <c r="H132" i="1"/>
  <c r="I132" i="1"/>
  <c r="J132" i="1"/>
  <c r="K132" i="1"/>
  <c r="L132" i="1"/>
  <c r="M132" i="1"/>
  <c r="N132" i="1"/>
  <c r="O132" i="1"/>
  <c r="P132" i="1"/>
  <c r="Q132" i="1"/>
  <c r="R132" i="1"/>
  <c r="H133" i="1"/>
  <c r="I133" i="1"/>
  <c r="J133" i="1"/>
  <c r="K133" i="1"/>
  <c r="L133" i="1"/>
  <c r="S133" i="1" s="1"/>
  <c r="T133" i="1" s="1"/>
  <c r="U133" i="1" s="1"/>
  <c r="M133" i="1"/>
  <c r="N133" i="1"/>
  <c r="O133" i="1"/>
  <c r="P133" i="1"/>
  <c r="Q133" i="1"/>
  <c r="R133" i="1"/>
  <c r="H134" i="1"/>
  <c r="I134" i="1"/>
  <c r="J134" i="1"/>
  <c r="K134" i="1"/>
  <c r="L134" i="1"/>
  <c r="M134" i="1"/>
  <c r="N134" i="1"/>
  <c r="O134" i="1"/>
  <c r="P134" i="1"/>
  <c r="Q134" i="1"/>
  <c r="R134" i="1"/>
  <c r="H135" i="1"/>
  <c r="I135" i="1"/>
  <c r="J135" i="1"/>
  <c r="K135" i="1"/>
  <c r="L135" i="1"/>
  <c r="M135" i="1"/>
  <c r="N135" i="1"/>
  <c r="O135" i="1"/>
  <c r="P135" i="1"/>
  <c r="Q135" i="1"/>
  <c r="R135" i="1"/>
  <c r="U3" i="1"/>
  <c r="U4" i="1"/>
  <c r="T3" i="1"/>
  <c r="T4" i="1"/>
  <c r="S3" i="1"/>
  <c r="S4" i="1"/>
  <c r="I3" i="1"/>
  <c r="J3" i="1"/>
  <c r="K3" i="1"/>
  <c r="L3" i="1"/>
  <c r="M3" i="1"/>
  <c r="N3" i="1"/>
  <c r="O3" i="1"/>
  <c r="P3" i="1"/>
  <c r="Q3" i="1"/>
  <c r="R3" i="1"/>
  <c r="H3" i="1"/>
  <c r="H4" i="1"/>
  <c r="I4" i="1"/>
  <c r="J4" i="1"/>
  <c r="K4" i="1"/>
  <c r="L4" i="1"/>
  <c r="M4" i="1"/>
  <c r="N4" i="1"/>
  <c r="O4" i="1"/>
  <c r="P4" i="1"/>
  <c r="Q4" i="1"/>
  <c r="R4" i="1"/>
  <c r="S116" i="1" l="1"/>
  <c r="T116" i="1" s="1"/>
  <c r="U116" i="1" s="1"/>
  <c r="S113" i="1"/>
  <c r="T113" i="1" s="1"/>
  <c r="U113" i="1" s="1"/>
  <c r="S99" i="1"/>
  <c r="T99" i="1" s="1"/>
  <c r="U99" i="1" s="1"/>
  <c r="S94" i="1"/>
  <c r="T94" i="1" s="1"/>
  <c r="U94" i="1" s="1"/>
  <c r="S117" i="1"/>
  <c r="T117" i="1" s="1"/>
  <c r="U117" i="1" s="1"/>
  <c r="S134" i="1"/>
  <c r="T134" i="1" s="1"/>
  <c r="U134" i="1" s="1"/>
  <c r="S132" i="1"/>
  <c r="T132" i="1" s="1"/>
  <c r="U132" i="1" s="1"/>
  <c r="S130" i="1"/>
  <c r="T130" i="1" s="1"/>
  <c r="U130" i="1" s="1"/>
  <c r="S128" i="1"/>
  <c r="T128" i="1" s="1"/>
  <c r="U128" i="1" s="1"/>
  <c r="S126" i="1"/>
  <c r="T126" i="1" s="1"/>
  <c r="U126" i="1" s="1"/>
  <c r="S124" i="1"/>
  <c r="T124" i="1" s="1"/>
  <c r="U124" i="1" s="1"/>
  <c r="S122" i="1"/>
  <c r="T122" i="1" s="1"/>
  <c r="U122" i="1" s="1"/>
  <c r="S120" i="1"/>
  <c r="T120" i="1" s="1"/>
  <c r="U120" i="1" s="1"/>
  <c r="S108" i="1"/>
  <c r="T108" i="1" s="1"/>
  <c r="U108" i="1" s="1"/>
  <c r="S91" i="1"/>
  <c r="T91" i="1" s="1"/>
  <c r="U91" i="1" s="1"/>
  <c r="S118" i="1"/>
  <c r="T118" i="1" s="1"/>
  <c r="U118" i="1" s="1"/>
  <c r="S103" i="1"/>
  <c r="T103" i="1" s="1"/>
  <c r="U103" i="1" s="1"/>
  <c r="S115" i="1"/>
  <c r="T115" i="1" s="1"/>
  <c r="U115" i="1" s="1"/>
  <c r="S100" i="1"/>
  <c r="T100" i="1" s="1"/>
  <c r="U100" i="1" s="1"/>
  <c r="S112" i="1"/>
  <c r="T112" i="1" s="1"/>
  <c r="U112" i="1" s="1"/>
  <c r="S95" i="1"/>
  <c r="T95" i="1" s="1"/>
  <c r="U95" i="1" s="1"/>
  <c r="S90" i="1"/>
  <c r="T90" i="1" s="1"/>
  <c r="U90" i="1" s="1"/>
  <c r="S135" i="1"/>
  <c r="T135" i="1" s="1"/>
  <c r="U135" i="1" s="1"/>
  <c r="S131" i="1"/>
  <c r="T131" i="1" s="1"/>
  <c r="U131" i="1" s="1"/>
  <c r="S127" i="1"/>
  <c r="T127" i="1" s="1"/>
  <c r="U127" i="1" s="1"/>
  <c r="S123" i="1"/>
  <c r="T123" i="1" s="1"/>
  <c r="U123" i="1" s="1"/>
  <c r="S119" i="1"/>
  <c r="T119" i="1" s="1"/>
  <c r="U119" i="1" s="1"/>
  <c r="S107" i="1"/>
  <c r="T107" i="1" s="1"/>
  <c r="U107" i="1" s="1"/>
  <c r="S102" i="1"/>
  <c r="T102" i="1" s="1"/>
  <c r="U102" i="1" s="1"/>
</calcChain>
</file>

<file path=xl/sharedStrings.xml><?xml version="1.0" encoding="utf-8"?>
<sst xmlns="http://schemas.openxmlformats.org/spreadsheetml/2006/main" count="586" uniqueCount="159">
  <si>
    <t>Frase</t>
  </si>
  <si>
    <t>Compound</t>
  </si>
  <si>
    <t>Sentimiento</t>
  </si>
  <si>
    <t>Año</t>
  </si>
  <si>
    <t>ANDI presented its 2021 economic overview and 2022 outlook
eco 2022
PreviousNext
Share
2021 ended with an economy that registered significant growth despite the pandemic.</t>
  </si>
  <si>
    <t>Convicción</t>
  </si>
  <si>
    <t>However, we must continue moving toward recovery: increasing formal employment, promoting an increase in "Inclusive Productivity" in investment, and reactivation.</t>
  </si>
  <si>
    <t>Hopefully, this situation will be an opportunity to make decisions that are still pending for our economy.</t>
  </si>
  <si>
    <t>2021 Overview and 2022 Outlook
The last two years show a rupture in economic history.</t>
  </si>
  <si>
    <t>Neutral</t>
  </si>
  <si>
    <t>We talked about economic cycles, trends that strengthened or reversed, or referenced temporary crises around the world.</t>
  </si>
  <si>
    <t>Optimismo</t>
  </si>
  <si>
    <t>The challenge was to be productive, inclusive, and competitive, to integrate into global value chains, and to adapt to the fourth industrial revolution.</t>
  </si>
  <si>
    <t>The scope went beyond the economic to social, environmental, and human rights issues.</t>
  </si>
  <si>
    <t>These remain priorities.</t>
  </si>
  <si>
    <t>However, it is clear that new conditions must be addressed, and one example has been the pandemic, which can be considered a turning point, including its economic dimension.</t>
  </si>
  <si>
    <t>Given this scenario, how will 2021 be characterized?</t>
  </si>
  <si>
    <t>One possibility would be to talk about a new normal, a reconfiguration of global value chains, the perfect storm, or the digitalization of the economy.</t>
  </si>
  <si>
    <t>Consolidado</t>
  </si>
  <si>
    <t>But fortunately, 2021 has also been the year of recovery.</t>
  </si>
  <si>
    <t>The world managed to overcome an economic contraction of -3.1% to place itself on a path of high growth (5.9%), where dynamism has been greater than expected.</t>
  </si>
  <si>
    <t>In Colombia, the recovery was evident with one of the highest growth rates in the region.</t>
  </si>
  <si>
    <t>Economic Facts
The global economy is framed by three events: a public health environment, the disruption of supply chains, and economic stimulus in the recovery.</t>
  </si>
  <si>
    <t>Escepticismo</t>
  </si>
  <si>
    <t>2020 saw significant loss of life.</t>
  </si>
  <si>
    <t>Indiferente</t>
  </si>
  <si>
    <t>In 2021, the vaccination strategy has been the focus, taking into account new variants and the need to adjust health systems and financial sustainability due to health conditions.</t>
  </si>
  <si>
    <t>International trade achieved dynamism that exceeded expectations.</t>
  </si>
  <si>
    <t>Restrictions on raw materials, shortages of semiconductors, energy resources, and containers are evident, and trade volumes have been insufficient to meet demand.</t>
  </si>
  <si>
    <t>Shipping companies have also lacked availability and port infrastructure had adjusted to the 2020 situation.</t>
  </si>
  <si>
    <t>The result of 2021 is global inflation, rising freight and logistics costs, and shortages of intermediate inputs and final goods.</t>
  </si>
  <si>
    <t>Many forces are converging toward increasing inflationary pressure.</t>
  </si>
  <si>
    <t>It is important to recognize this when defining the public policy that, as a country, must adopt to address inflation.</t>
  </si>
  <si>
    <t>Facing domestic price increases is not the same as facing global situations.</t>
  </si>
  <si>
    <t>Governments have responded to this.</t>
  </si>
  <si>
    <t>The economic policy mix has been an expansionary monetary policy accompanied by economic support for households and assistance for businesses to avoid closures.</t>
  </si>
  <si>
    <t>Favorable</t>
  </si>
  <si>
    <t>This was primarily the case in 2020, and many have suspended it for 2021.</t>
  </si>
  <si>
    <t>Recently, monetary policy, as an initial measure to control inflation, has seen rates rise.</t>
  </si>
  <si>
    <t>In Colombia, the health challenges, raw material restrictions, and inflationary pressures are being replicated, with the government responding with aid to the population and the monetary authority adjusting its policies to market conditions.</t>
  </si>
  <si>
    <t>We cannot forget the effects of the national strike on the productive apparatus and the logistics and trade structure.</t>
  </si>
  <si>
    <t>The country's growth in 2021 is reflected in several sectors and, from a spending perspective, is positive: consumption is driving the economy, reflecting an improvement in households; investment is growing, indicating business confidence in the country; and industrial exports are recording their highest growth in almost a decade.</t>
  </si>
  <si>
    <t>Confianza</t>
  </si>
  <si>
    <t>This is a clear transition toward recovery.</t>
  </si>
  <si>
    <t>The role of the business community was overwhelming.</t>
  </si>
  <si>
    <t>Over these two years, the business community, beyond maintaining its activity in an environment of confinement, uncertainty, and depressed markets, has been characterized by a supportive attitude and a deep awareness of society's needs.</t>
  </si>
  <si>
    <t>Inestabilidad</t>
  </si>
  <si>
    <t>During the discussions surrounding tax reform, they asked the government and Congress not to affect those hit hard by the pandemic and invited business owners to address the country's significant fiscal needs through corporate taxes.</t>
  </si>
  <si>
    <t>At the negotiation table, an agreement was reached raising the minimum wage to $1,000,000, as well as the transportation assistance to 10.07%.</t>
  </si>
  <si>
    <t>This was accompanied by the need to protect workers, communities, and their families, by purchasing 2,100,000 doses of COVID vaccines, complementing the national plan.</t>
  </si>
  <si>
    <t>to the government's vaccination program.</t>
  </si>
  <si>
    <t>Thus, the business community continues to invest in the country, always seeking the well-being of Colombians.</t>
  </si>
  <si>
    <t>The Challenges Ahead
The pandemic exacerbated the Colombian economy's existing difficulties.</t>
  </si>
  <si>
    <t>Unemployment is in double digits.</t>
  </si>
  <si>
    <t>The challenge is to create formal jobs and train personnel for new production needs.</t>
  </si>
  <si>
    <t>The government responded to the situation with a fiscal package that raised the deficit to levels above 7% of GDP.</t>
  </si>
  <si>
    <t>Another major challenge would be the soundness and sustainability of public finances.</t>
  </si>
  <si>
    <t>Looking ahead, the need to align economic policy measures with those associated with the health sector will continue to be a critical issue.</t>
  </si>
  <si>
    <t>The digital transformation remains as a legacy.</t>
  </si>
  <si>
    <t>E-government has intensified, and procedures are increasingly digital, workers have adjusted to teleworking, virtual education has been introduced, and the business community has become digital and has come to recognize the importance of Big Data and the need for real-time indicators for decision-making.</t>
  </si>
  <si>
    <t>Shock policies must be maintained to strengthen recovery and translate into job creation for economic and social development.</t>
  </si>
  <si>
    <t>The goal cannot simply be a short-term objective.</t>
  </si>
  <si>
    <t>2022 must be the year in which a path is defined for structural reforms: pensions, labor, capital markets, justice, and a tax system that promotes formality, along with a law that clarifies land ownership and use, and a regulatory system for prior consultations with clarity and transparency.</t>
  </si>
  <si>
    <t>It will probably be impossible to advance these reforms in one year, but a mechanism for discussing them and a timeline for processing them must be agreed upon.</t>
  </si>
  <si>
    <t>We must resume the path toward greater productivity and competitiveness.</t>
  </si>
  <si>
    <t>We must consider the new values ​​demanded by consumers and the new paradigms of competitiveness: human rights, environmental sustainability, decent work, the elimination of child labor, and digital transformation.</t>
  </si>
  <si>
    <t>Colombia's Great Opportunity
The global need to reduce its carbon footprint presents a new opportunity for Colombia's competitiveness in international markets.</t>
  </si>
  <si>
    <t>The low carbon footprint of our energy matrix and our geoeconomic position is undoubtedly a great opportunity to attract investment to the economy.</t>
  </si>
  <si>
    <t>In this regard, the country is not starting from scratch: it has natural competitive advantages, it is already developing a strategy to reduce its carbon footprint, the path toward energy reconversion is a reality, and business leaders are incorporating sustainability issues into their strategy.</t>
  </si>
  <si>
    <t>If a company wants to reduce its carbon footprint, if it wants to be sustainable, it should locate in locations that allow it to do so.</t>
  </si>
  <si>
    <t>Energy is a large part of the strategy, and therefore, it must be located in Colombia.</t>
  </si>
  <si>
    <t>Thus, its production will be carried out with lower-emission processes, the geographic location will mean shorter distances traveled to access international ports, cargo and personnel will be able to use electric mobility, and public policy will be aligned with the sustainability objective.</t>
  </si>
  <si>
    <t>The Colombian Economy's Performance in 2022
Picture of ISAI DAVID CONTRERAS ANIBAL
ISAI DAVID CONTRERAS ANIBAL
March 4, 2024
2 comments
Total views:
1,116
The Colombian economy in 2022 was bittersweet.</t>
  </si>
  <si>
    <t>This is because, despite the improvement in growth that occurred during this period, the expected results were not achieved.</t>
  </si>
  <si>
    <t>That year, its growth was less than desired.</t>
  </si>
  <si>
    <t>It was expected not to exceed the limits, but it was too little to achieve the benefits that Colombia would expect upon achieving these results.</t>
  </si>
  <si>
    <t>The GDP (Gross Domestic Product) was estimated to have grown during the year, but many economic sectors also experienced declines.</t>
  </si>
  <si>
    <t>Entities such as DANE (National Administrative Department of Statistics), MHCP (Ministry of Finance and Public Credit), BRC (Bank of the Republic of Colombia), the government, and others conducted a very detailed quarterly analysis of the country's various sectors, including the economy.</t>
  </si>
  <si>
    <t>The statistics obtained for the country's economic sector for 2022 are not entirely negative, but neither are they entirely positive.</t>
  </si>
  <si>
    <t>EL PAIS América Colombia published the following in an informative article:
Colombia's National Administrative Department of Statistics (DANE) revealed the official growth figure for the country's Gross Domestic Product: 7.5%.</t>
  </si>
  <si>
    <t>The figure, very positive in typical economic contexts, is bittersweet.</t>
  </si>
  <si>
    <t>Bitter because the Ministry of Finance estimated growth of 8.2% and the Bank of the Republic estimated 8.1%, so the increase was lower than expected.</t>
  </si>
  <si>
    <t>This is a sweet spot because one of the government's and experts' major concerns was excessive growth in 2022 that would lead to stagnation in 2023, and a more moderate pace last year could mean a less severe slowdown this year.</t>
  </si>
  <si>
    <t>In another context, it can be seen that Colombia was also economically affected by a global economic phenomenon, inflation, that year; since 2021, there had been a shift in the consumer price index (CPI), due to the supply impacts left by the pandemic.</t>
  </si>
  <si>
    <t>What the Colombian markets envisioned was that the year would close with inflation of approximately 12.5%, and that next year it would remain at a high level, close to 7%.</t>
  </si>
  <si>
    <t>Although the expected results were not achieved that year, it was confirmed that a very significant level of economic growth was achieved throughout the Latin American region.</t>
  </si>
  <si>
    <t>This was due to the figure published by DANE, which concluded that the economy grew 7.5% at the end of 2022.</t>
  </si>
  <si>
    <t>This means that more than $1.4 trillion pesos in goods and services were produced.</t>
  </si>
  <si>
    <t>Undoubtedly, the factors that enabled this significant growth were:
Wholesale and retail trade.</t>
  </si>
  <si>
    <t>Air and ground transportation.</t>
  </si>
  <si>
    <t>Accommodation and food services.</t>
  </si>
  <si>
    <t>All of these strongly influenced the Colombian economy, but in this context, the category that made the greatest contribution was the manufacturing industry, especially the textile sector, which was one of the largest drivers of employment in Colombia.</t>
  </si>
  <si>
    <t>Other influential factors in the fourth quarter of the year were:
Entertainment.</t>
  </si>
  <si>
    <t>Concerts.</t>
  </si>
  <si>
    <t>The World Cup.</t>
  </si>
  <si>
    <t>Gaming and gambling.</t>
  </si>
  <si>
    <t>It is worth noting that the second quarter of 2022 was the most dynamic for the economy, especially between April and May, continuing until August.</t>
  </si>
  <si>
    <t>By September, the economy began to show signs of slowing.</t>
  </si>
  <si>
    <t>According to DANE (National Statistics Institute), agriculture, which has maintained a negative trend in recent years, and mining were the most affected sectors during 2022.</t>
  </si>
  <si>
    <t>Household spending was one of the main factors driving and driving the economy, ahead of public spending.</t>
  </si>
  <si>
    <t>All of this represents progress in Colombia's economic growth, as in years prior to 2022, growth was approximately 3.2%.</t>
  </si>
  <si>
    <t>Given the dynamic performance of some sectors in industry, commerce, and the arts, Colombia ranked first in terms of growth among all UN countries.</t>
  </si>
  <si>
    <t>International Macroeconomic Environment
The global economy expanded at an annual rate of nearly 2.6% in the first quarter of 2023 due to improved consumer confidence, the normalization of global supply chains, and favorable dynamics in services activities.</t>
  </si>
  <si>
    <t>A slowdown in global growth is anticipated for the remainder of the year amid an uncertain economic climate characterized by geopolitical tensions, risks to financial stability, high debt in many economies, and the effects of restrictive monetary policies in numerous countries, whose inflation rates remain above their targets, despite the declines achieved so far.</t>
  </si>
  <si>
    <t>Pesimismo</t>
  </si>
  <si>
    <t>The IMF forecasts that the moderating inflation trend will continue in the coming months, with average annual global inflation falling from 8.7% in 2022 to 6.8% in 2023.</t>
  </si>
  <si>
    <t>Economic Activity in Colombia
After achieving strong growth of 7.3% in 2022, GDP growth slowed in the first quarter of 2023, reaching an annualized figure of 3.0%, driven by positive net external demand, primarily due to a drop in imports, especially capital goods, affected by the slowdown in economic activity.</t>
  </si>
  <si>
    <t>Domestic demand contributed negatively to growth, reflected in the loss of momentum in household consumption and the contraction of gross capital formation.</t>
  </si>
  <si>
    <t>The technical team at the Central Bank forecasts GDP growth of 0.9% in 2023.</t>
  </si>
  <si>
    <t>Employment
The unemployment rate continued to decline year-on-year during the first months of 2023, reaching 10.4% in the moving quarter ending in May, below its historical average, largely due to the recovery of employment in rural areas.</t>
  </si>
  <si>
    <t>The informality rate stood at 57.3% in May 2023, 0.3 percentage points higher than the 57% observed in December 2022.</t>
  </si>
  <si>
    <t>By economic sector, the largest contributions to the annual change in employment, in the national aggregate, were made by the trade and lodging, manufacturing, and professional activities.</t>
  </si>
  <si>
    <t>Inflation and Monetary Policy
Consumer price inflation maintained an upward trend throughout the previous year, reaching 13.1% at the end of 2022.</t>
  </si>
  <si>
    <t>During the first quarter of 2023, inflation stabilized at around 13.3% annually and began to show a downward trend starting in April, reaching 12.1% annually in June, one percentage point below the level recorded in December 2022.</t>
  </si>
  <si>
    <t>The declines in the inflation rate during the second quarter were explained, among other factors, by the drop in food inflation; downward adjustments in international prices for some foods, raw materials, and transportation costs; the appreciation of the exchange rate; and the reduction in producer price inflation, offset by the rise in fuel prices.</t>
  </si>
  <si>
    <t>Balance of Payments
In the first quarter of 2023, the current account deficit was 4.2% of GDP.</t>
  </si>
  <si>
    <t>This meant a reduction in the external imbalance of two percentage points of GDP, compared to that recorded in the same quarter of 2022.</t>
  </si>
  <si>
    <t>This decrease was primarily due to the reduction in the goods trade deficit and the lower imbalance in services trade.</t>
  </si>
  <si>
    <t>For 2023, the technical team projects a current account deficit of 4.1% of GDP, lower than the 6.2% deficit observed in 2022.
International Reserves
So far in 2023, there has been an increase in the level of net international reserves, which totaled USD 57,705.7 million (m) as of May 31, 2023, representing an increase of USD 436.6 million compared to the amount recorded at the end of 2022.</t>
  </si>
  <si>
    <t>This is due to the positive profitability obtained during this period, resulting from the higher returns received.</t>
  </si>
  <si>
    <t>The appreciation of investments has also contributed to the increase in the level of reserves.</t>
  </si>
  <si>
    <t>These positive impacts on investments have been partially offset by the devaluation of other reserve currencies against the US dollar, which has generated a negative exchange rate effect on the valuation of reserves.</t>
  </si>
  <si>
    <t>Bank of the Republic's Earnings
In the first half of 2023, the Bank of the Republic's earnings amounted to COP 4,049 billion (mm), as a result of income of COP 6,423 billion and expenses of COP 2,374 billion.</t>
  </si>
  <si>
    <t>Income was mainly due to the return on international reserves and, to a lesser extent, to the return on the TES held by the Bank and on expansionary repos.</t>
  </si>
  <si>
    <t>Expenditures are mainly explained by the remuneration of government deposits with the Bank and contractionary deposits, and by current expenses.</t>
  </si>
  <si>
    <t>Corporate.</t>
  </si>
  <si>
    <t>A profit of COP 8,408 billion is projected for 2023, higher than that obtained in 2022 (COP 1,506 billion), which would come primarily from the return on international reserves.</t>
  </si>
  <si>
    <t>The expected return on reserves would respond to high external interest rates.</t>
  </si>
  <si>
    <t>Public Finance
The fiscal deficit of the Central National Government (CNG) stood at 5.3% of GDP in 2022, which implied a correction of 1.7 percentage points compared to the 2021 deficit (7.0% of GDP).</t>
  </si>
  <si>
    <t>With this result, the CNG achieved the deficit target established for the transition period in the Fiscal Rule (8.3%).</t>
  </si>
  <si>
    <t>This adjustment was possible thanks to the dynamism of the Colombian economy, which boosted tax collection, favorable terms of trade, and the reduction of spending pressures associated with the COVID-19 pandemic.</t>
  </si>
  <si>
    <t>During the first quarter of 2024, economic activity in Colombia maintained the recovery trend it exhibited in the last quarter of 2023.</t>
  </si>
  <si>
    <t>After the 0.7% contraction in gross domestic product (GDP) in the third quarter of 2023, this variable grew by 0.4% in the fourth quarter of last year and 0.9% between January and March of this year.</t>
  </si>
  <si>
    <t>Although this growth rate remains moderate, the forecasts of the technical team and various analysts indicate that it will consolidate in the coming months, approaching its potential capacity in 2025.</t>
  </si>
  <si>
    <t>Furthermore, the annual inflation rate made progress in its convergence to the target during the first half of the year, declining from 9.3% in December to 7.4% in March, and stabilizing around 7.2% in the second quarter.</t>
  </si>
  <si>
    <t>Likewise, the country's external imbalance continued to narrow, with a current account deficit of 1.9% of GDP recorded in the first three months of the year, which was lower than that of 2023 (2.5% of GDP) and that observed in the same period of the previous year (3.7% of GDP).</t>
  </si>
  <si>
    <t>Regarding public finances, the significant correction of the fiscal imbalance achieved the previous year stands out, which resulted in a reduction in the General Government deficit from 6.3% to 2.7% of GDP between 2022 and 2023.</t>
  </si>
  <si>
    <t>Since December 2023, these macroeconomic advances have been accompanied by the start of a new monetary policy cycle, with progressive interest rate reductions.</t>
  </si>
  <si>
    <t>The decision to undertake this policy change stems from the consensus reached among the co-directors of the Board of Directors of the Banco de la República (JDBR) that favorable conditions have been created for adopting a less contractionary policy stance, as confirmed by the downward trend shown by both annual inflation and inflation expectations since April 2023, as well as the correction of the external deficit toward a more sustainable balance.</t>
  </si>
  <si>
    <t>While these favorable conditions are identified, some significant risks to inflation's convergence to its 3% target are noted.</t>
  </si>
  <si>
    <t>These include the downward rigidity of inflation in some services, including rents and energy rates, as well as the risks of a depreciation of the peso against the dollar due to changing conditions in the external context, the persisting uncertainty regarding monetary policy in the United States, and local public policy issues.</t>
  </si>
  <si>
    <t>Likewise, there is the risk related to food prices, whose inflation spiked in May and June due to the effects of the El Niño phenomenon on the harvests of certain perishable foods.</t>
  </si>
  <si>
    <t>Additionally, while inflation expectations show a downward trend over time, they remain above the target for the relevant timeframes in which the Board of Directors (BDBR) aims to achieve it.</t>
  </si>
  <si>
    <t>Furthermore, the expected increase in the Central National Government (CNG) deficit in 2024 could make it difficult for inflation to converge toward its target within the timeframe in which the Board of Directors (BDBR) hopes to achieve it.</t>
  </si>
  <si>
    <t>The existence of the aforementioned risks to inflation behavior requires the monetary authority to be especially cautious with the amount of policy interest rate cuts.</t>
  </si>
  <si>
    <t>This is because there is a risk that very rapid declines may have to be reversed, at significant credibility costs, if events materialize that make it difficult to achieve the inflation target within the timeframes set by the Board of Directors.</t>
  </si>
  <si>
    <t>Hence the importance of each decision using the most recent available information as the basis for a detailed assessment of inflation behavior and expectations; observed and expected economic growth; and other key variables that determine the country's macroeconomic stability and the convergence of inflation toward its target.</t>
  </si>
  <si>
    <t>This task is regularly carried out by the technical team of the Banco de la República for each Board of Directors session.</t>
  </si>
  <si>
    <t>Categoria</t>
  </si>
  <si>
    <t>Amenaza</t>
  </si>
  <si>
    <t xml:space="preserve">Inestabilidad </t>
  </si>
  <si>
    <t xml:space="preserve">Neutral </t>
  </si>
  <si>
    <t xml:space="preserve">Favorable </t>
  </si>
  <si>
    <t xml:space="preserve">Optimismo </t>
  </si>
  <si>
    <t xml:space="preserve">Convicción </t>
  </si>
  <si>
    <t xml:space="preserve">Consolidación </t>
  </si>
  <si>
    <t>min</t>
  </si>
  <si>
    <t xml:space="preserve">Consolidado </t>
  </si>
  <si>
    <t xml:space="preserve">Confianza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</si>
</sst>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Times New Roman"/>
      <family val="1"/>
    </font>
    <font>
      <b/>
      <sz val="12"/>
      <name val="Times New Roman"/>
      <family val="1"/>
    </font>
    <font>
      <b/>
      <sz val="11"/>
      <color theme="1"/>
      <name val="Times New Roman"/>
      <family val="1"/>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applyAlignment="1">
      <alignment horizontal="center" vertical="top"/>
    </xf>
    <xf numFmtId="0" fontId="1" fillId="0" borderId="4" xfId="0" applyFont="1" applyBorder="1"/>
    <xf numFmtId="0" fontId="1" fillId="0" borderId="5" xfId="0" applyFont="1" applyBorder="1"/>
    <xf numFmtId="0" fontId="1" fillId="0" borderId="2" xfId="0" applyFont="1" applyBorder="1"/>
    <xf numFmtId="0" fontId="1" fillId="0" borderId="3" xfId="0" applyFont="1" applyBorder="1"/>
    <xf numFmtId="0" fontId="1" fillId="0" borderId="6" xfId="0" applyFont="1" applyBorder="1"/>
    <xf numFmtId="0" fontId="3" fillId="0" borderId="0" xfId="0" applyFon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080B-E6D7-CD4B-A9E4-C25E3EA88A0B}">
  <dimension ref="A1:W137"/>
  <sheetViews>
    <sheetView tabSelected="1" topLeftCell="D1" zoomScale="125" workbookViewId="0">
      <selection activeCell="T137" sqref="T137"/>
    </sheetView>
  </sheetViews>
  <sheetFormatPr baseColWidth="10" defaultRowHeight="16" x14ac:dyDescent="0.2"/>
  <cols>
    <col min="1" max="1" width="32.6640625" customWidth="1"/>
    <col min="8" max="8" width="8.6640625" bestFit="1" customWidth="1"/>
    <col min="9" max="9" width="9.5" bestFit="1" customWidth="1"/>
    <col min="10" max="10" width="12" bestFit="1" customWidth="1"/>
    <col min="11" max="11" width="11.33203125" bestFit="1" customWidth="1"/>
    <col min="12" max="12" width="10" bestFit="1" customWidth="1"/>
    <col min="13" max="13" width="7.83203125" bestFit="1" customWidth="1"/>
    <col min="14" max="14" width="10" bestFit="1" customWidth="1"/>
    <col min="15" max="15" width="10.5" bestFit="1" customWidth="1"/>
    <col min="16" max="16" width="10.33203125" bestFit="1" customWidth="1"/>
    <col min="17" max="17" width="12.6640625" bestFit="1" customWidth="1"/>
    <col min="18" max="18" width="9.5" bestFit="1" customWidth="1"/>
  </cols>
  <sheetData>
    <row r="1" spans="1:23" x14ac:dyDescent="0.2">
      <c r="A1" s="2" t="s">
        <v>0</v>
      </c>
      <c r="B1" s="2" t="s">
        <v>1</v>
      </c>
      <c r="C1" s="2" t="s">
        <v>2</v>
      </c>
      <c r="D1" s="2" t="s">
        <v>148</v>
      </c>
      <c r="E1" s="2" t="s">
        <v>3</v>
      </c>
      <c r="H1" s="8" t="s">
        <v>149</v>
      </c>
      <c r="I1" s="8" t="s">
        <v>104</v>
      </c>
      <c r="J1" s="8" t="s">
        <v>150</v>
      </c>
      <c r="K1" s="8" t="s">
        <v>23</v>
      </c>
      <c r="L1" s="8" t="s">
        <v>25</v>
      </c>
      <c r="M1" s="8" t="s">
        <v>151</v>
      </c>
      <c r="N1" s="8" t="s">
        <v>152</v>
      </c>
      <c r="O1" s="8" t="s">
        <v>153</v>
      </c>
      <c r="P1" s="8" t="s">
        <v>154</v>
      </c>
      <c r="Q1" s="8" t="s">
        <v>155</v>
      </c>
      <c r="R1" s="8" t="s">
        <v>42</v>
      </c>
      <c r="S1" s="1"/>
      <c r="T1" s="1"/>
      <c r="U1" s="1"/>
    </row>
    <row r="2" spans="1:23" x14ac:dyDescent="0.2">
      <c r="A2" s="3" t="s">
        <v>4</v>
      </c>
      <c r="B2" s="1">
        <v>0.68079999999999996</v>
      </c>
      <c r="C2" s="1" t="s">
        <v>5</v>
      </c>
      <c r="D2" s="1">
        <v>0.8</v>
      </c>
      <c r="E2" s="4">
        <v>2021</v>
      </c>
      <c r="H2" s="9">
        <v>-1</v>
      </c>
      <c r="I2" s="9">
        <v>-0.8</v>
      </c>
      <c r="J2" s="9">
        <v>-0.6</v>
      </c>
      <c r="K2" s="9">
        <v>-0.4</v>
      </c>
      <c r="L2" s="9">
        <v>-0.2</v>
      </c>
      <c r="M2" s="9">
        <v>0</v>
      </c>
      <c r="N2" s="9">
        <v>0.2</v>
      </c>
      <c r="O2" s="9">
        <v>0.4</v>
      </c>
      <c r="P2" s="9">
        <v>0.6</v>
      </c>
      <c r="Q2" s="9">
        <v>0.8</v>
      </c>
      <c r="R2" s="9">
        <v>1</v>
      </c>
      <c r="S2" s="9" t="s">
        <v>156</v>
      </c>
      <c r="T2" s="9" t="s">
        <v>148</v>
      </c>
      <c r="U2" s="9" t="s">
        <v>2</v>
      </c>
    </row>
    <row r="3" spans="1:23" x14ac:dyDescent="0.2">
      <c r="A3" s="3" t="s">
        <v>6</v>
      </c>
      <c r="B3" s="1">
        <v>0.58589999999999998</v>
      </c>
      <c r="C3" s="1" t="s">
        <v>5</v>
      </c>
      <c r="D3" s="1">
        <v>0.8</v>
      </c>
      <c r="E3" s="4">
        <v>2021</v>
      </c>
      <c r="H3" s="1">
        <f>+ABS(H$2-$B2)</f>
        <v>1.6808000000000001</v>
      </c>
      <c r="I3" s="1">
        <f t="shared" ref="I3:R3" si="0">+ABS(I$2-$B2)</f>
        <v>1.4807999999999999</v>
      </c>
      <c r="J3" s="1">
        <f t="shared" si="0"/>
        <v>1.2807999999999999</v>
      </c>
      <c r="K3" s="1">
        <f t="shared" si="0"/>
        <v>1.0808</v>
      </c>
      <c r="L3" s="1">
        <f t="shared" si="0"/>
        <v>0.88080000000000003</v>
      </c>
      <c r="M3" s="1">
        <f t="shared" si="0"/>
        <v>0.68079999999999996</v>
      </c>
      <c r="N3" s="1">
        <f t="shared" si="0"/>
        <v>0.48079999999999995</v>
      </c>
      <c r="O3" s="1">
        <f t="shared" si="0"/>
        <v>0.28079999999999994</v>
      </c>
      <c r="P3" s="1">
        <f t="shared" si="0"/>
        <v>8.0799999999999983E-2</v>
      </c>
      <c r="Q3" s="1">
        <f t="shared" si="0"/>
        <v>0.11920000000000008</v>
      </c>
      <c r="R3" s="1">
        <f t="shared" si="0"/>
        <v>0.31920000000000004</v>
      </c>
      <c r="S3" s="1">
        <f>+MIN(H3:R3)</f>
        <v>8.0799999999999983E-2</v>
      </c>
      <c r="T3" s="1">
        <f>+MATCH(S3,H3:R3,0)</f>
        <v>9</v>
      </c>
      <c r="U3" s="1" t="str">
        <f>+VLOOKUP(T3,$V$6:$W$16,2)</f>
        <v xml:space="preserve">Convicción </v>
      </c>
    </row>
    <row r="4" spans="1:23" x14ac:dyDescent="0.2">
      <c r="A4" s="3" t="s">
        <v>7</v>
      </c>
      <c r="B4" s="1">
        <v>0.67049999999999998</v>
      </c>
      <c r="C4" s="1" t="s">
        <v>5</v>
      </c>
      <c r="D4" s="1">
        <v>0.8</v>
      </c>
      <c r="E4" s="4">
        <v>2021</v>
      </c>
      <c r="H4" s="1">
        <f>+ABS(H$2-$B3)</f>
        <v>1.5859000000000001</v>
      </c>
      <c r="I4" s="1">
        <f>+ABS(I$2-$B3)</f>
        <v>1.3858999999999999</v>
      </c>
      <c r="J4" s="1">
        <f>+ABS(J$2-$B3)</f>
        <v>1.1859</v>
      </c>
      <c r="K4" s="1">
        <f>+ABS(K$2-$B3)</f>
        <v>0.9859</v>
      </c>
      <c r="L4" s="1">
        <f>+ABS(L$2-$B3)</f>
        <v>0.78590000000000004</v>
      </c>
      <c r="M4" s="1">
        <f>+ABS(M$2-$B3)</f>
        <v>0.58589999999999998</v>
      </c>
      <c r="N4" s="1">
        <f>+ABS(N$2-$B3)</f>
        <v>0.38589999999999997</v>
      </c>
      <c r="O4" s="1">
        <f>+ABS(O$2-$B3)</f>
        <v>0.18589999999999995</v>
      </c>
      <c r="P4" s="1">
        <f>+ABS(P$2-$B3)</f>
        <v>1.4100000000000001E-2</v>
      </c>
      <c r="Q4" s="1">
        <f>+ABS(Q$2-$B3)</f>
        <v>0.21410000000000007</v>
      </c>
      <c r="R4" s="1">
        <f>+ABS(R$2-$B3)</f>
        <v>0.41410000000000002</v>
      </c>
      <c r="S4" s="1">
        <f>+MIN(H4:R4)</f>
        <v>1.4100000000000001E-2</v>
      </c>
      <c r="T4" s="1">
        <f>+MATCH(S4,H4:R4,0)</f>
        <v>9</v>
      </c>
      <c r="U4" s="1" t="str">
        <f>+VLOOKUP(T4,$V$6:$W$16,2)</f>
        <v xml:space="preserve">Convicción </v>
      </c>
    </row>
    <row r="5" spans="1:23" x14ac:dyDescent="0.2">
      <c r="A5" s="3" t="s">
        <v>8</v>
      </c>
      <c r="B5" s="1">
        <v>0</v>
      </c>
      <c r="C5" s="1" t="s">
        <v>9</v>
      </c>
      <c r="D5" s="1">
        <v>0.5</v>
      </c>
      <c r="E5" s="4">
        <v>2021</v>
      </c>
      <c r="H5" s="1">
        <f t="shared" ref="H5:H68" si="1">+ABS(H$2-$B4)</f>
        <v>1.6705000000000001</v>
      </c>
      <c r="I5" s="1">
        <f t="shared" ref="I5:I68" si="2">+ABS(I$2-$B4)</f>
        <v>1.4704999999999999</v>
      </c>
      <c r="J5" s="1">
        <f t="shared" ref="J5:J68" si="3">+ABS(J$2-$B4)</f>
        <v>1.2705</v>
      </c>
      <c r="K5" s="1">
        <f t="shared" ref="K5:K68" si="4">+ABS(K$2-$B4)</f>
        <v>1.0705</v>
      </c>
      <c r="L5" s="1">
        <f t="shared" ref="L5:L68" si="5">+ABS(L$2-$B4)</f>
        <v>0.87050000000000005</v>
      </c>
      <c r="M5" s="1">
        <f t="shared" ref="M5:M68" si="6">+ABS(M$2-$B4)</f>
        <v>0.67049999999999998</v>
      </c>
      <c r="N5" s="1">
        <f t="shared" ref="N5:N68" si="7">+ABS(N$2-$B4)</f>
        <v>0.47049999999999997</v>
      </c>
      <c r="O5" s="1">
        <f t="shared" ref="O5:O68" si="8">+ABS(O$2-$B4)</f>
        <v>0.27049999999999996</v>
      </c>
      <c r="P5" s="1">
        <f t="shared" ref="P5:P68" si="9">+ABS(P$2-$B4)</f>
        <v>7.0500000000000007E-2</v>
      </c>
      <c r="Q5" s="1">
        <f t="shared" ref="Q5:Q68" si="10">+ABS(Q$2-$B4)</f>
        <v>0.12950000000000006</v>
      </c>
      <c r="R5" s="1">
        <f t="shared" ref="R5:R68" si="11">+ABS(R$2-$B4)</f>
        <v>0.32950000000000002</v>
      </c>
      <c r="S5" s="1">
        <f t="shared" ref="S5:S68" si="12">+MIN(H5:R5)</f>
        <v>7.0500000000000007E-2</v>
      </c>
      <c r="T5" s="1">
        <f t="shared" ref="T5:T68" si="13">+MATCH(S5,H5:R5,0)</f>
        <v>9</v>
      </c>
      <c r="U5" s="1" t="str">
        <f t="shared" ref="U5:U68" si="14">+VLOOKUP(T5,$V$6:$W$16,2)</f>
        <v xml:space="preserve">Convicción </v>
      </c>
    </row>
    <row r="6" spans="1:23" x14ac:dyDescent="0.2">
      <c r="A6" s="3" t="s">
        <v>10</v>
      </c>
      <c r="B6" s="1">
        <v>0.42149999999999999</v>
      </c>
      <c r="C6" s="1" t="s">
        <v>11</v>
      </c>
      <c r="D6" s="1">
        <v>0.7</v>
      </c>
      <c r="E6" s="4">
        <v>2021</v>
      </c>
      <c r="H6" s="1">
        <f t="shared" si="1"/>
        <v>1</v>
      </c>
      <c r="I6" s="1">
        <f t="shared" si="2"/>
        <v>0.8</v>
      </c>
      <c r="J6" s="1">
        <f t="shared" si="3"/>
        <v>0.6</v>
      </c>
      <c r="K6" s="1">
        <f t="shared" si="4"/>
        <v>0.4</v>
      </c>
      <c r="L6" s="1">
        <f t="shared" si="5"/>
        <v>0.2</v>
      </c>
      <c r="M6" s="1">
        <f t="shared" si="6"/>
        <v>0</v>
      </c>
      <c r="N6" s="1">
        <f t="shared" si="7"/>
        <v>0.2</v>
      </c>
      <c r="O6" s="1">
        <f t="shared" si="8"/>
        <v>0.4</v>
      </c>
      <c r="P6" s="1">
        <f t="shared" si="9"/>
        <v>0.6</v>
      </c>
      <c r="Q6" s="1">
        <f t="shared" si="10"/>
        <v>0.8</v>
      </c>
      <c r="R6" s="1">
        <f t="shared" si="11"/>
        <v>1</v>
      </c>
      <c r="S6" s="1">
        <f t="shared" si="12"/>
        <v>0</v>
      </c>
      <c r="T6" s="1">
        <f t="shared" si="13"/>
        <v>6</v>
      </c>
      <c r="U6" s="1" t="str">
        <f t="shared" si="14"/>
        <v xml:space="preserve">Neutral </v>
      </c>
      <c r="V6" s="1">
        <v>1</v>
      </c>
      <c r="W6" s="1" t="s">
        <v>149</v>
      </c>
    </row>
    <row r="7" spans="1:23" x14ac:dyDescent="0.2">
      <c r="A7" s="3" t="s">
        <v>12</v>
      </c>
      <c r="B7" s="1">
        <v>0.52669999999999995</v>
      </c>
      <c r="C7" s="1" t="s">
        <v>5</v>
      </c>
      <c r="D7" s="1">
        <v>0.8</v>
      </c>
      <c r="E7" s="4">
        <v>2021</v>
      </c>
      <c r="H7" s="1">
        <f t="shared" si="1"/>
        <v>1.4215</v>
      </c>
      <c r="I7" s="1">
        <f t="shared" si="2"/>
        <v>1.2215</v>
      </c>
      <c r="J7" s="1">
        <f t="shared" si="3"/>
        <v>1.0215000000000001</v>
      </c>
      <c r="K7" s="1">
        <f t="shared" si="4"/>
        <v>0.82150000000000001</v>
      </c>
      <c r="L7" s="1">
        <f t="shared" si="5"/>
        <v>0.62149999999999994</v>
      </c>
      <c r="M7" s="1">
        <f t="shared" si="6"/>
        <v>0.42149999999999999</v>
      </c>
      <c r="N7" s="1">
        <f t="shared" si="7"/>
        <v>0.22149999999999997</v>
      </c>
      <c r="O7" s="1">
        <f t="shared" si="8"/>
        <v>2.1499999999999964E-2</v>
      </c>
      <c r="P7" s="1">
        <f t="shared" si="9"/>
        <v>0.17849999999999999</v>
      </c>
      <c r="Q7" s="1">
        <f t="shared" si="10"/>
        <v>0.37850000000000006</v>
      </c>
      <c r="R7" s="1">
        <f t="shared" si="11"/>
        <v>0.57850000000000001</v>
      </c>
      <c r="S7" s="1">
        <f t="shared" si="12"/>
        <v>2.1499999999999964E-2</v>
      </c>
      <c r="T7" s="1">
        <f t="shared" si="13"/>
        <v>8</v>
      </c>
      <c r="U7" s="1" t="str">
        <f t="shared" si="14"/>
        <v>Optimismo</v>
      </c>
      <c r="V7" s="1">
        <v>2</v>
      </c>
      <c r="W7" s="1" t="s">
        <v>104</v>
      </c>
    </row>
    <row r="8" spans="1:23" x14ac:dyDescent="0.2">
      <c r="A8" s="3" t="s">
        <v>13</v>
      </c>
      <c r="B8" s="1">
        <v>0</v>
      </c>
      <c r="C8" s="1" t="s">
        <v>9</v>
      </c>
      <c r="D8" s="1">
        <v>0.5</v>
      </c>
      <c r="E8" s="4">
        <v>2021</v>
      </c>
      <c r="H8" s="1">
        <f t="shared" si="1"/>
        <v>1.5266999999999999</v>
      </c>
      <c r="I8" s="1">
        <f t="shared" si="2"/>
        <v>1.3267</v>
      </c>
      <c r="J8" s="1">
        <f t="shared" si="3"/>
        <v>1.1267</v>
      </c>
      <c r="K8" s="1">
        <f t="shared" si="4"/>
        <v>0.92669999999999997</v>
      </c>
      <c r="L8" s="1">
        <f t="shared" si="5"/>
        <v>0.7266999999999999</v>
      </c>
      <c r="M8" s="1">
        <f t="shared" si="6"/>
        <v>0.52669999999999995</v>
      </c>
      <c r="N8" s="1">
        <f t="shared" si="7"/>
        <v>0.32669999999999993</v>
      </c>
      <c r="O8" s="1">
        <f t="shared" si="8"/>
        <v>0.12669999999999992</v>
      </c>
      <c r="P8" s="1">
        <f t="shared" si="9"/>
        <v>7.3300000000000032E-2</v>
      </c>
      <c r="Q8" s="1">
        <f t="shared" si="10"/>
        <v>0.2733000000000001</v>
      </c>
      <c r="R8" s="1">
        <f t="shared" si="11"/>
        <v>0.47330000000000005</v>
      </c>
      <c r="S8" s="1">
        <f t="shared" si="12"/>
        <v>7.3300000000000032E-2</v>
      </c>
      <c r="T8" s="1">
        <f t="shared" si="13"/>
        <v>9</v>
      </c>
      <c r="U8" s="1" t="str">
        <f t="shared" si="14"/>
        <v xml:space="preserve">Convicción </v>
      </c>
      <c r="V8" s="1">
        <v>3</v>
      </c>
      <c r="W8" s="1" t="s">
        <v>46</v>
      </c>
    </row>
    <row r="9" spans="1:23" x14ac:dyDescent="0.2">
      <c r="A9" s="3" t="s">
        <v>14</v>
      </c>
      <c r="B9" s="1">
        <v>0</v>
      </c>
      <c r="C9" s="1" t="s">
        <v>9</v>
      </c>
      <c r="D9" s="1">
        <v>0.5</v>
      </c>
      <c r="E9" s="4">
        <v>2021</v>
      </c>
      <c r="H9" s="1">
        <f t="shared" si="1"/>
        <v>1</v>
      </c>
      <c r="I9" s="1">
        <f t="shared" si="2"/>
        <v>0.8</v>
      </c>
      <c r="J9" s="1">
        <f t="shared" si="3"/>
        <v>0.6</v>
      </c>
      <c r="K9" s="1">
        <f t="shared" si="4"/>
        <v>0.4</v>
      </c>
      <c r="L9" s="1">
        <f t="shared" si="5"/>
        <v>0.2</v>
      </c>
      <c r="M9" s="1">
        <f t="shared" si="6"/>
        <v>0</v>
      </c>
      <c r="N9" s="1">
        <f t="shared" si="7"/>
        <v>0.2</v>
      </c>
      <c r="O9" s="1">
        <f t="shared" si="8"/>
        <v>0.4</v>
      </c>
      <c r="P9" s="1">
        <f t="shared" si="9"/>
        <v>0.6</v>
      </c>
      <c r="Q9" s="1">
        <f t="shared" si="10"/>
        <v>0.8</v>
      </c>
      <c r="R9" s="1">
        <f t="shared" si="11"/>
        <v>1</v>
      </c>
      <c r="S9" s="1">
        <f t="shared" si="12"/>
        <v>0</v>
      </c>
      <c r="T9" s="1">
        <f t="shared" si="13"/>
        <v>6</v>
      </c>
      <c r="U9" s="1" t="str">
        <f t="shared" si="14"/>
        <v xml:space="preserve">Neutral </v>
      </c>
      <c r="V9" s="1">
        <v>4</v>
      </c>
      <c r="W9" s="1" t="s">
        <v>23</v>
      </c>
    </row>
    <row r="10" spans="1:23" x14ac:dyDescent="0.2">
      <c r="A10" s="3" t="s">
        <v>15</v>
      </c>
      <c r="B10" s="1">
        <v>0.38179999999999997</v>
      </c>
      <c r="C10" s="1" t="s">
        <v>11</v>
      </c>
      <c r="D10" s="1">
        <v>0.7</v>
      </c>
      <c r="E10" s="4">
        <v>2021</v>
      </c>
      <c r="H10" s="1">
        <f t="shared" si="1"/>
        <v>1</v>
      </c>
      <c r="I10" s="1">
        <f t="shared" si="2"/>
        <v>0.8</v>
      </c>
      <c r="J10" s="1">
        <f t="shared" si="3"/>
        <v>0.6</v>
      </c>
      <c r="K10" s="1">
        <f t="shared" si="4"/>
        <v>0.4</v>
      </c>
      <c r="L10" s="1">
        <f t="shared" si="5"/>
        <v>0.2</v>
      </c>
      <c r="M10" s="1">
        <f t="shared" si="6"/>
        <v>0</v>
      </c>
      <c r="N10" s="1">
        <f t="shared" si="7"/>
        <v>0.2</v>
      </c>
      <c r="O10" s="1">
        <f t="shared" si="8"/>
        <v>0.4</v>
      </c>
      <c r="P10" s="1">
        <f t="shared" si="9"/>
        <v>0.6</v>
      </c>
      <c r="Q10" s="1">
        <f t="shared" si="10"/>
        <v>0.8</v>
      </c>
      <c r="R10" s="1">
        <f t="shared" si="11"/>
        <v>1</v>
      </c>
      <c r="S10" s="1">
        <f t="shared" si="12"/>
        <v>0</v>
      </c>
      <c r="T10" s="1">
        <f t="shared" si="13"/>
        <v>6</v>
      </c>
      <c r="U10" s="1" t="str">
        <f t="shared" si="14"/>
        <v xml:space="preserve">Neutral </v>
      </c>
      <c r="V10" s="1">
        <v>5</v>
      </c>
      <c r="W10" s="1" t="s">
        <v>25</v>
      </c>
    </row>
    <row r="11" spans="1:23" x14ac:dyDescent="0.2">
      <c r="A11" s="3" t="s">
        <v>16</v>
      </c>
      <c r="B11" s="1">
        <v>0</v>
      </c>
      <c r="C11" s="1" t="s">
        <v>9</v>
      </c>
      <c r="D11" s="1">
        <v>0.5</v>
      </c>
      <c r="E11" s="4">
        <v>2021</v>
      </c>
      <c r="H11" s="1">
        <f t="shared" si="1"/>
        <v>1.3817999999999999</v>
      </c>
      <c r="I11" s="1">
        <f t="shared" si="2"/>
        <v>1.1818</v>
      </c>
      <c r="J11" s="1">
        <f t="shared" si="3"/>
        <v>0.98180000000000001</v>
      </c>
      <c r="K11" s="1">
        <f t="shared" si="4"/>
        <v>0.78180000000000005</v>
      </c>
      <c r="L11" s="1">
        <f t="shared" si="5"/>
        <v>0.58179999999999998</v>
      </c>
      <c r="M11" s="1">
        <f t="shared" si="6"/>
        <v>0.38179999999999997</v>
      </c>
      <c r="N11" s="1">
        <f t="shared" si="7"/>
        <v>0.18179999999999996</v>
      </c>
      <c r="O11" s="1">
        <f t="shared" si="8"/>
        <v>1.8200000000000049E-2</v>
      </c>
      <c r="P11" s="1">
        <f t="shared" si="9"/>
        <v>0.21820000000000001</v>
      </c>
      <c r="Q11" s="1">
        <f t="shared" si="10"/>
        <v>0.41820000000000007</v>
      </c>
      <c r="R11" s="1">
        <f t="shared" si="11"/>
        <v>0.61820000000000008</v>
      </c>
      <c r="S11" s="1">
        <f t="shared" si="12"/>
        <v>1.8200000000000049E-2</v>
      </c>
      <c r="T11" s="1">
        <f t="shared" si="13"/>
        <v>8</v>
      </c>
      <c r="U11" s="1" t="str">
        <f t="shared" si="14"/>
        <v>Optimismo</v>
      </c>
      <c r="V11" s="1">
        <v>6</v>
      </c>
      <c r="W11" s="1" t="s">
        <v>151</v>
      </c>
    </row>
    <row r="12" spans="1:23" x14ac:dyDescent="0.2">
      <c r="A12" s="3" t="s">
        <v>17</v>
      </c>
      <c r="B12" s="1">
        <v>0.72689999999999999</v>
      </c>
      <c r="C12" s="1" t="s">
        <v>18</v>
      </c>
      <c r="D12" s="1">
        <v>0.9</v>
      </c>
      <c r="E12" s="4">
        <v>2021</v>
      </c>
      <c r="H12" s="1">
        <f t="shared" si="1"/>
        <v>1</v>
      </c>
      <c r="I12" s="1">
        <f t="shared" si="2"/>
        <v>0.8</v>
      </c>
      <c r="J12" s="1">
        <f t="shared" si="3"/>
        <v>0.6</v>
      </c>
      <c r="K12" s="1">
        <f t="shared" si="4"/>
        <v>0.4</v>
      </c>
      <c r="L12" s="1">
        <f t="shared" si="5"/>
        <v>0.2</v>
      </c>
      <c r="M12" s="1">
        <f t="shared" si="6"/>
        <v>0</v>
      </c>
      <c r="N12" s="1">
        <f t="shared" si="7"/>
        <v>0.2</v>
      </c>
      <c r="O12" s="1">
        <f t="shared" si="8"/>
        <v>0.4</v>
      </c>
      <c r="P12" s="1">
        <f t="shared" si="9"/>
        <v>0.6</v>
      </c>
      <c r="Q12" s="1">
        <f t="shared" si="10"/>
        <v>0.8</v>
      </c>
      <c r="R12" s="1">
        <f t="shared" si="11"/>
        <v>1</v>
      </c>
      <c r="S12" s="1">
        <f t="shared" si="12"/>
        <v>0</v>
      </c>
      <c r="T12" s="1">
        <f t="shared" si="13"/>
        <v>6</v>
      </c>
      <c r="U12" s="1" t="str">
        <f t="shared" si="14"/>
        <v xml:space="preserve">Neutral </v>
      </c>
      <c r="V12" s="1">
        <v>7</v>
      </c>
      <c r="W12" s="1" t="s">
        <v>36</v>
      </c>
    </row>
    <row r="13" spans="1:23" x14ac:dyDescent="0.2">
      <c r="A13" s="3" t="s">
        <v>19</v>
      </c>
      <c r="B13" s="1">
        <v>0</v>
      </c>
      <c r="C13" s="1" t="s">
        <v>9</v>
      </c>
      <c r="D13" s="1">
        <v>0.5</v>
      </c>
      <c r="E13" s="4">
        <v>2021</v>
      </c>
      <c r="H13" s="1">
        <f t="shared" si="1"/>
        <v>1.7269000000000001</v>
      </c>
      <c r="I13" s="1">
        <f t="shared" si="2"/>
        <v>1.5268999999999999</v>
      </c>
      <c r="J13" s="1">
        <f t="shared" si="3"/>
        <v>1.3269</v>
      </c>
      <c r="K13" s="1">
        <f t="shared" si="4"/>
        <v>1.1269</v>
      </c>
      <c r="L13" s="1">
        <f t="shared" si="5"/>
        <v>0.92690000000000006</v>
      </c>
      <c r="M13" s="1">
        <f t="shared" si="6"/>
        <v>0.72689999999999999</v>
      </c>
      <c r="N13" s="1">
        <f t="shared" si="7"/>
        <v>0.52689999999999992</v>
      </c>
      <c r="O13" s="1">
        <f t="shared" si="8"/>
        <v>0.32689999999999997</v>
      </c>
      <c r="P13" s="1">
        <f t="shared" si="9"/>
        <v>0.12690000000000001</v>
      </c>
      <c r="Q13" s="1">
        <f t="shared" si="10"/>
        <v>7.3100000000000054E-2</v>
      </c>
      <c r="R13" s="1">
        <f t="shared" si="11"/>
        <v>0.27310000000000001</v>
      </c>
      <c r="S13" s="1">
        <f t="shared" si="12"/>
        <v>7.3100000000000054E-2</v>
      </c>
      <c r="T13" s="1">
        <f t="shared" si="13"/>
        <v>10</v>
      </c>
      <c r="U13" s="1" t="str">
        <f t="shared" si="14"/>
        <v xml:space="preserve">Consolidado </v>
      </c>
      <c r="V13" s="1">
        <v>8</v>
      </c>
      <c r="W13" s="1" t="s">
        <v>11</v>
      </c>
    </row>
    <row r="14" spans="1:23" x14ac:dyDescent="0.2">
      <c r="A14" s="3" t="s">
        <v>20</v>
      </c>
      <c r="B14" s="1">
        <v>0.77170000000000005</v>
      </c>
      <c r="C14" s="1" t="s">
        <v>18</v>
      </c>
      <c r="D14" s="1">
        <v>0.9</v>
      </c>
      <c r="E14" s="4">
        <v>2021</v>
      </c>
      <c r="H14" s="1">
        <f t="shared" si="1"/>
        <v>1</v>
      </c>
      <c r="I14" s="1">
        <f t="shared" si="2"/>
        <v>0.8</v>
      </c>
      <c r="J14" s="1">
        <f t="shared" si="3"/>
        <v>0.6</v>
      </c>
      <c r="K14" s="1">
        <f t="shared" si="4"/>
        <v>0.4</v>
      </c>
      <c r="L14" s="1">
        <f t="shared" si="5"/>
        <v>0.2</v>
      </c>
      <c r="M14" s="1">
        <f t="shared" si="6"/>
        <v>0</v>
      </c>
      <c r="N14" s="1">
        <f t="shared" si="7"/>
        <v>0.2</v>
      </c>
      <c r="O14" s="1">
        <f t="shared" si="8"/>
        <v>0.4</v>
      </c>
      <c r="P14" s="1">
        <f t="shared" si="9"/>
        <v>0.6</v>
      </c>
      <c r="Q14" s="1">
        <f t="shared" si="10"/>
        <v>0.8</v>
      </c>
      <c r="R14" s="1">
        <f t="shared" si="11"/>
        <v>1</v>
      </c>
      <c r="S14" s="1">
        <f t="shared" si="12"/>
        <v>0</v>
      </c>
      <c r="T14" s="1">
        <f t="shared" si="13"/>
        <v>6</v>
      </c>
      <c r="U14" s="1" t="str">
        <f t="shared" si="14"/>
        <v xml:space="preserve">Neutral </v>
      </c>
      <c r="V14" s="1">
        <v>9</v>
      </c>
      <c r="W14" s="1" t="s">
        <v>154</v>
      </c>
    </row>
    <row r="15" spans="1:23" x14ac:dyDescent="0.2">
      <c r="A15" s="3" t="s">
        <v>21</v>
      </c>
      <c r="B15" s="1">
        <v>0.38179999999999997</v>
      </c>
      <c r="C15" s="1" t="s">
        <v>11</v>
      </c>
      <c r="D15" s="1">
        <v>0.7</v>
      </c>
      <c r="E15" s="4">
        <v>2021</v>
      </c>
      <c r="H15" s="1">
        <f t="shared" si="1"/>
        <v>1.7717000000000001</v>
      </c>
      <c r="I15" s="1">
        <f t="shared" si="2"/>
        <v>1.5717000000000001</v>
      </c>
      <c r="J15" s="1">
        <f t="shared" si="3"/>
        <v>1.3717000000000001</v>
      </c>
      <c r="K15" s="1">
        <f t="shared" si="4"/>
        <v>1.1717</v>
      </c>
      <c r="L15" s="1">
        <f t="shared" si="5"/>
        <v>0.97170000000000001</v>
      </c>
      <c r="M15" s="1">
        <f t="shared" si="6"/>
        <v>0.77170000000000005</v>
      </c>
      <c r="N15" s="1">
        <f t="shared" si="7"/>
        <v>0.5717000000000001</v>
      </c>
      <c r="O15" s="1">
        <f t="shared" si="8"/>
        <v>0.37170000000000003</v>
      </c>
      <c r="P15" s="1">
        <f t="shared" si="9"/>
        <v>0.17170000000000007</v>
      </c>
      <c r="Q15" s="1">
        <f t="shared" si="10"/>
        <v>2.8299999999999992E-2</v>
      </c>
      <c r="R15" s="1">
        <f t="shared" si="11"/>
        <v>0.22829999999999995</v>
      </c>
      <c r="S15" s="1">
        <f t="shared" si="12"/>
        <v>2.8299999999999992E-2</v>
      </c>
      <c r="T15" s="1">
        <f t="shared" si="13"/>
        <v>10</v>
      </c>
      <c r="U15" s="1" t="str">
        <f t="shared" si="14"/>
        <v xml:space="preserve">Consolidado </v>
      </c>
      <c r="V15" s="1">
        <v>10</v>
      </c>
      <c r="W15" s="1" t="s">
        <v>157</v>
      </c>
    </row>
    <row r="16" spans="1:23" x14ac:dyDescent="0.2">
      <c r="A16" s="3" t="s">
        <v>22</v>
      </c>
      <c r="B16" s="1">
        <v>-0.36120000000000002</v>
      </c>
      <c r="C16" s="1" t="s">
        <v>23</v>
      </c>
      <c r="D16" s="1">
        <v>0.3</v>
      </c>
      <c r="E16" s="4">
        <v>2021</v>
      </c>
      <c r="H16" s="1">
        <f t="shared" si="1"/>
        <v>1.3817999999999999</v>
      </c>
      <c r="I16" s="1">
        <f t="shared" si="2"/>
        <v>1.1818</v>
      </c>
      <c r="J16" s="1">
        <f t="shared" si="3"/>
        <v>0.98180000000000001</v>
      </c>
      <c r="K16" s="1">
        <f t="shared" si="4"/>
        <v>0.78180000000000005</v>
      </c>
      <c r="L16" s="1">
        <f t="shared" si="5"/>
        <v>0.58179999999999998</v>
      </c>
      <c r="M16" s="1">
        <f t="shared" si="6"/>
        <v>0.38179999999999997</v>
      </c>
      <c r="N16" s="1">
        <f t="shared" si="7"/>
        <v>0.18179999999999996</v>
      </c>
      <c r="O16" s="1">
        <f t="shared" si="8"/>
        <v>1.8200000000000049E-2</v>
      </c>
      <c r="P16" s="1">
        <f t="shared" si="9"/>
        <v>0.21820000000000001</v>
      </c>
      <c r="Q16" s="1">
        <f t="shared" si="10"/>
        <v>0.41820000000000007</v>
      </c>
      <c r="R16" s="1">
        <f t="shared" si="11"/>
        <v>0.61820000000000008</v>
      </c>
      <c r="S16" s="1">
        <f t="shared" si="12"/>
        <v>1.8200000000000049E-2</v>
      </c>
      <c r="T16" s="1">
        <f t="shared" si="13"/>
        <v>8</v>
      </c>
      <c r="U16" s="1" t="str">
        <f t="shared" si="14"/>
        <v>Optimismo</v>
      </c>
      <c r="V16" s="1">
        <v>11</v>
      </c>
      <c r="W16" s="1" t="s">
        <v>158</v>
      </c>
    </row>
    <row r="17" spans="1:21" x14ac:dyDescent="0.2">
      <c r="A17" s="3" t="s">
        <v>24</v>
      </c>
      <c r="B17" s="1">
        <v>-0.128</v>
      </c>
      <c r="C17" s="1" t="s">
        <v>25</v>
      </c>
      <c r="D17" s="1">
        <v>0.4</v>
      </c>
      <c r="E17" s="4">
        <v>2021</v>
      </c>
      <c r="H17" s="1">
        <f t="shared" si="1"/>
        <v>0.63880000000000003</v>
      </c>
      <c r="I17" s="1">
        <f t="shared" si="2"/>
        <v>0.43880000000000002</v>
      </c>
      <c r="J17" s="1">
        <f t="shared" si="3"/>
        <v>0.23879999999999996</v>
      </c>
      <c r="K17" s="1">
        <f t="shared" si="4"/>
        <v>3.8800000000000001E-2</v>
      </c>
      <c r="L17" s="1">
        <f t="shared" si="5"/>
        <v>0.16120000000000001</v>
      </c>
      <c r="M17" s="1">
        <f t="shared" si="6"/>
        <v>0.36120000000000002</v>
      </c>
      <c r="N17" s="1">
        <f t="shared" si="7"/>
        <v>0.56120000000000003</v>
      </c>
      <c r="O17" s="1">
        <f t="shared" si="8"/>
        <v>0.7612000000000001</v>
      </c>
      <c r="P17" s="1">
        <f t="shared" si="9"/>
        <v>0.96120000000000005</v>
      </c>
      <c r="Q17" s="1">
        <f t="shared" si="10"/>
        <v>1.1612</v>
      </c>
      <c r="R17" s="1">
        <f t="shared" si="11"/>
        <v>1.3612</v>
      </c>
      <c r="S17" s="1">
        <f t="shared" si="12"/>
        <v>3.8800000000000001E-2</v>
      </c>
      <c r="T17" s="1">
        <f t="shared" si="13"/>
        <v>4</v>
      </c>
      <c r="U17" s="1" t="str">
        <f t="shared" si="14"/>
        <v>Escepticismo</v>
      </c>
    </row>
    <row r="18" spans="1:21" x14ac:dyDescent="0.2">
      <c r="A18" s="3" t="s">
        <v>26</v>
      </c>
      <c r="B18" s="1">
        <v>0</v>
      </c>
      <c r="C18" s="1" t="s">
        <v>9</v>
      </c>
      <c r="D18" s="1">
        <v>0.5</v>
      </c>
      <c r="E18" s="4">
        <v>2021</v>
      </c>
      <c r="H18" s="1">
        <f t="shared" si="1"/>
        <v>0.872</v>
      </c>
      <c r="I18" s="1">
        <f t="shared" si="2"/>
        <v>0.67200000000000004</v>
      </c>
      <c r="J18" s="1">
        <f t="shared" si="3"/>
        <v>0.47199999999999998</v>
      </c>
      <c r="K18" s="1">
        <f t="shared" si="4"/>
        <v>0.27200000000000002</v>
      </c>
      <c r="L18" s="1">
        <f t="shared" si="5"/>
        <v>7.2000000000000008E-2</v>
      </c>
      <c r="M18" s="1">
        <f t="shared" si="6"/>
        <v>0.128</v>
      </c>
      <c r="N18" s="1">
        <f t="shared" si="7"/>
        <v>0.32800000000000001</v>
      </c>
      <c r="O18" s="1">
        <f t="shared" si="8"/>
        <v>0.52800000000000002</v>
      </c>
      <c r="P18" s="1">
        <f t="shared" si="9"/>
        <v>0.72799999999999998</v>
      </c>
      <c r="Q18" s="1">
        <f t="shared" si="10"/>
        <v>0.92800000000000005</v>
      </c>
      <c r="R18" s="1">
        <f t="shared" si="11"/>
        <v>1.1280000000000001</v>
      </c>
      <c r="S18" s="1">
        <f t="shared" si="12"/>
        <v>7.2000000000000008E-2</v>
      </c>
      <c r="T18" s="1">
        <f t="shared" si="13"/>
        <v>5</v>
      </c>
      <c r="U18" s="1" t="str">
        <f t="shared" si="14"/>
        <v>Indiferente</v>
      </c>
    </row>
    <row r="19" spans="1:21" x14ac:dyDescent="0.2">
      <c r="A19" s="3" t="s">
        <v>27</v>
      </c>
      <c r="B19" s="1">
        <v>0.38179999999999997</v>
      </c>
      <c r="C19" s="1" t="s">
        <v>11</v>
      </c>
      <c r="D19" s="1">
        <v>0.7</v>
      </c>
      <c r="E19" s="4">
        <v>2021</v>
      </c>
      <c r="H19" s="1">
        <f t="shared" si="1"/>
        <v>1</v>
      </c>
      <c r="I19" s="1">
        <f t="shared" si="2"/>
        <v>0.8</v>
      </c>
      <c r="J19" s="1">
        <f t="shared" si="3"/>
        <v>0.6</v>
      </c>
      <c r="K19" s="1">
        <f t="shared" si="4"/>
        <v>0.4</v>
      </c>
      <c r="L19" s="1">
        <f t="shared" si="5"/>
        <v>0.2</v>
      </c>
      <c r="M19" s="1">
        <f t="shared" si="6"/>
        <v>0</v>
      </c>
      <c r="N19" s="1">
        <f t="shared" si="7"/>
        <v>0.2</v>
      </c>
      <c r="O19" s="1">
        <f t="shared" si="8"/>
        <v>0.4</v>
      </c>
      <c r="P19" s="1">
        <f t="shared" si="9"/>
        <v>0.6</v>
      </c>
      <c r="Q19" s="1">
        <f t="shared" si="10"/>
        <v>0.8</v>
      </c>
      <c r="R19" s="1">
        <f t="shared" si="11"/>
        <v>1</v>
      </c>
      <c r="S19" s="1">
        <f t="shared" si="12"/>
        <v>0</v>
      </c>
      <c r="T19" s="1">
        <f t="shared" si="13"/>
        <v>6</v>
      </c>
      <c r="U19" s="1" t="str">
        <f t="shared" si="14"/>
        <v xml:space="preserve">Neutral </v>
      </c>
    </row>
    <row r="20" spans="1:21" x14ac:dyDescent="0.2">
      <c r="A20" s="3" t="s">
        <v>28</v>
      </c>
      <c r="B20" s="1">
        <v>0</v>
      </c>
      <c r="C20" s="1" t="s">
        <v>9</v>
      </c>
      <c r="D20" s="1">
        <v>0.5</v>
      </c>
      <c r="E20" s="4">
        <v>2021</v>
      </c>
      <c r="H20" s="1">
        <f t="shared" si="1"/>
        <v>1.3817999999999999</v>
      </c>
      <c r="I20" s="1">
        <f t="shared" si="2"/>
        <v>1.1818</v>
      </c>
      <c r="J20" s="1">
        <f t="shared" si="3"/>
        <v>0.98180000000000001</v>
      </c>
      <c r="K20" s="1">
        <f t="shared" si="4"/>
        <v>0.78180000000000005</v>
      </c>
      <c r="L20" s="1">
        <f t="shared" si="5"/>
        <v>0.58179999999999998</v>
      </c>
      <c r="M20" s="1">
        <f t="shared" si="6"/>
        <v>0.38179999999999997</v>
      </c>
      <c r="N20" s="1">
        <f t="shared" si="7"/>
        <v>0.18179999999999996</v>
      </c>
      <c r="O20" s="1">
        <f t="shared" si="8"/>
        <v>1.8200000000000049E-2</v>
      </c>
      <c r="P20" s="1">
        <f t="shared" si="9"/>
        <v>0.21820000000000001</v>
      </c>
      <c r="Q20" s="1">
        <f t="shared" si="10"/>
        <v>0.41820000000000007</v>
      </c>
      <c r="R20" s="1">
        <f t="shared" si="11"/>
        <v>0.61820000000000008</v>
      </c>
      <c r="S20" s="1">
        <f t="shared" si="12"/>
        <v>1.8200000000000049E-2</v>
      </c>
      <c r="T20" s="1">
        <f t="shared" si="13"/>
        <v>8</v>
      </c>
      <c r="U20" s="1" t="str">
        <f t="shared" si="14"/>
        <v>Optimismo</v>
      </c>
    </row>
    <row r="21" spans="1:21" x14ac:dyDescent="0.2">
      <c r="A21" s="3" t="s">
        <v>29</v>
      </c>
      <c r="B21" s="1">
        <v>0</v>
      </c>
      <c r="C21" s="1" t="s">
        <v>9</v>
      </c>
      <c r="D21" s="1">
        <v>0.5</v>
      </c>
      <c r="E21" s="4">
        <v>2021</v>
      </c>
      <c r="H21" s="1">
        <f t="shared" si="1"/>
        <v>1</v>
      </c>
      <c r="I21" s="1">
        <f t="shared" si="2"/>
        <v>0.8</v>
      </c>
      <c r="J21" s="1">
        <f t="shared" si="3"/>
        <v>0.6</v>
      </c>
      <c r="K21" s="1">
        <f t="shared" si="4"/>
        <v>0.4</v>
      </c>
      <c r="L21" s="1">
        <f t="shared" si="5"/>
        <v>0.2</v>
      </c>
      <c r="M21" s="1">
        <f t="shared" si="6"/>
        <v>0</v>
      </c>
      <c r="N21" s="1">
        <f t="shared" si="7"/>
        <v>0.2</v>
      </c>
      <c r="O21" s="1">
        <f t="shared" si="8"/>
        <v>0.4</v>
      </c>
      <c r="P21" s="1">
        <f t="shared" si="9"/>
        <v>0.6</v>
      </c>
      <c r="Q21" s="1">
        <f t="shared" si="10"/>
        <v>0.8</v>
      </c>
      <c r="R21" s="1">
        <f t="shared" si="11"/>
        <v>1</v>
      </c>
      <c r="S21" s="1">
        <f t="shared" si="12"/>
        <v>0</v>
      </c>
      <c r="T21" s="1">
        <f t="shared" si="13"/>
        <v>6</v>
      </c>
      <c r="U21" s="1" t="str">
        <f t="shared" si="14"/>
        <v xml:space="preserve">Neutral </v>
      </c>
    </row>
    <row r="22" spans="1:21" x14ac:dyDescent="0.2">
      <c r="A22" s="3" t="s">
        <v>30</v>
      </c>
      <c r="B22" s="1">
        <v>-0.15310000000000001</v>
      </c>
      <c r="C22" s="1" t="s">
        <v>25</v>
      </c>
      <c r="D22" s="1">
        <v>0.4</v>
      </c>
      <c r="E22" s="4">
        <v>2021</v>
      </c>
      <c r="H22" s="1">
        <f t="shared" si="1"/>
        <v>1</v>
      </c>
      <c r="I22" s="1">
        <f t="shared" si="2"/>
        <v>0.8</v>
      </c>
      <c r="J22" s="1">
        <f t="shared" si="3"/>
        <v>0.6</v>
      </c>
      <c r="K22" s="1">
        <f t="shared" si="4"/>
        <v>0.4</v>
      </c>
      <c r="L22" s="1">
        <f t="shared" si="5"/>
        <v>0.2</v>
      </c>
      <c r="M22" s="1">
        <f t="shared" si="6"/>
        <v>0</v>
      </c>
      <c r="N22" s="1">
        <f t="shared" si="7"/>
        <v>0.2</v>
      </c>
      <c r="O22" s="1">
        <f t="shared" si="8"/>
        <v>0.4</v>
      </c>
      <c r="P22" s="1">
        <f t="shared" si="9"/>
        <v>0.6</v>
      </c>
      <c r="Q22" s="1">
        <f t="shared" si="10"/>
        <v>0.8</v>
      </c>
      <c r="R22" s="1">
        <f t="shared" si="11"/>
        <v>1</v>
      </c>
      <c r="S22" s="1">
        <f t="shared" si="12"/>
        <v>0</v>
      </c>
      <c r="T22" s="1">
        <f t="shared" si="13"/>
        <v>6</v>
      </c>
      <c r="U22" s="1" t="str">
        <f t="shared" si="14"/>
        <v xml:space="preserve">Neutral </v>
      </c>
    </row>
    <row r="23" spans="1:21" x14ac:dyDescent="0.2">
      <c r="A23" s="3" t="s">
        <v>31</v>
      </c>
      <c r="B23" s="1">
        <v>-0.29599999999999999</v>
      </c>
      <c r="C23" s="1" t="s">
        <v>25</v>
      </c>
      <c r="D23" s="1">
        <v>0.4</v>
      </c>
      <c r="E23" s="4">
        <v>2021</v>
      </c>
      <c r="H23" s="1">
        <f t="shared" si="1"/>
        <v>0.84689999999999999</v>
      </c>
      <c r="I23" s="1">
        <f t="shared" si="2"/>
        <v>0.64690000000000003</v>
      </c>
      <c r="J23" s="1">
        <f t="shared" si="3"/>
        <v>0.44689999999999996</v>
      </c>
      <c r="K23" s="1">
        <f t="shared" si="4"/>
        <v>0.24690000000000001</v>
      </c>
      <c r="L23" s="1">
        <f t="shared" si="5"/>
        <v>4.6899999999999997E-2</v>
      </c>
      <c r="M23" s="1">
        <f t="shared" si="6"/>
        <v>0.15310000000000001</v>
      </c>
      <c r="N23" s="1">
        <f t="shared" si="7"/>
        <v>0.35310000000000002</v>
      </c>
      <c r="O23" s="1">
        <f t="shared" si="8"/>
        <v>0.55310000000000004</v>
      </c>
      <c r="P23" s="1">
        <f t="shared" si="9"/>
        <v>0.75309999999999999</v>
      </c>
      <c r="Q23" s="1">
        <f t="shared" si="10"/>
        <v>0.95310000000000006</v>
      </c>
      <c r="R23" s="1">
        <f t="shared" si="11"/>
        <v>1.1531</v>
      </c>
      <c r="S23" s="1">
        <f t="shared" si="12"/>
        <v>4.6899999999999997E-2</v>
      </c>
      <c r="T23" s="1">
        <f t="shared" si="13"/>
        <v>5</v>
      </c>
      <c r="U23" s="1" t="str">
        <f t="shared" si="14"/>
        <v>Indiferente</v>
      </c>
    </row>
    <row r="24" spans="1:21" x14ac:dyDescent="0.2">
      <c r="A24" s="3" t="s">
        <v>32</v>
      </c>
      <c r="B24" s="1">
        <v>0.36120000000000002</v>
      </c>
      <c r="C24" s="1" t="s">
        <v>11</v>
      </c>
      <c r="D24" s="1">
        <v>0.7</v>
      </c>
      <c r="E24" s="4">
        <v>2021</v>
      </c>
      <c r="H24" s="1">
        <f t="shared" si="1"/>
        <v>0.70399999999999996</v>
      </c>
      <c r="I24" s="1">
        <f t="shared" si="2"/>
        <v>0.504</v>
      </c>
      <c r="J24" s="1">
        <f t="shared" si="3"/>
        <v>0.30399999999999999</v>
      </c>
      <c r="K24" s="1">
        <f t="shared" si="4"/>
        <v>0.10400000000000004</v>
      </c>
      <c r="L24" s="1">
        <f t="shared" si="5"/>
        <v>9.5999999999999974E-2</v>
      </c>
      <c r="M24" s="1">
        <f t="shared" si="6"/>
        <v>0.29599999999999999</v>
      </c>
      <c r="N24" s="1">
        <f t="shared" si="7"/>
        <v>0.496</v>
      </c>
      <c r="O24" s="1">
        <f t="shared" si="8"/>
        <v>0.69599999999999995</v>
      </c>
      <c r="P24" s="1">
        <f t="shared" si="9"/>
        <v>0.89599999999999991</v>
      </c>
      <c r="Q24" s="1">
        <f t="shared" si="10"/>
        <v>1.0960000000000001</v>
      </c>
      <c r="R24" s="1">
        <f t="shared" si="11"/>
        <v>1.296</v>
      </c>
      <c r="S24" s="1">
        <f t="shared" si="12"/>
        <v>9.5999999999999974E-2</v>
      </c>
      <c r="T24" s="1">
        <f t="shared" si="13"/>
        <v>5</v>
      </c>
      <c r="U24" s="1" t="str">
        <f t="shared" si="14"/>
        <v>Indiferente</v>
      </c>
    </row>
    <row r="25" spans="1:21" x14ac:dyDescent="0.2">
      <c r="A25" s="3" t="s">
        <v>33</v>
      </c>
      <c r="B25" s="1">
        <v>0</v>
      </c>
      <c r="C25" s="1" t="s">
        <v>9</v>
      </c>
      <c r="D25" s="1">
        <v>0.5</v>
      </c>
      <c r="E25" s="4">
        <v>2021</v>
      </c>
      <c r="H25" s="1">
        <f t="shared" si="1"/>
        <v>1.3612</v>
      </c>
      <c r="I25" s="1">
        <f t="shared" si="2"/>
        <v>1.1612</v>
      </c>
      <c r="J25" s="1">
        <f t="shared" si="3"/>
        <v>0.96120000000000005</v>
      </c>
      <c r="K25" s="1">
        <f t="shared" si="4"/>
        <v>0.7612000000000001</v>
      </c>
      <c r="L25" s="1">
        <f t="shared" si="5"/>
        <v>0.56120000000000003</v>
      </c>
      <c r="M25" s="1">
        <f t="shared" si="6"/>
        <v>0.36120000000000002</v>
      </c>
      <c r="N25" s="1">
        <f t="shared" si="7"/>
        <v>0.16120000000000001</v>
      </c>
      <c r="O25" s="1">
        <f t="shared" si="8"/>
        <v>3.8800000000000001E-2</v>
      </c>
      <c r="P25" s="1">
        <f t="shared" si="9"/>
        <v>0.23879999999999996</v>
      </c>
      <c r="Q25" s="1">
        <f t="shared" si="10"/>
        <v>0.43880000000000002</v>
      </c>
      <c r="R25" s="1">
        <f t="shared" si="11"/>
        <v>0.63880000000000003</v>
      </c>
      <c r="S25" s="1">
        <f t="shared" si="12"/>
        <v>3.8800000000000001E-2</v>
      </c>
      <c r="T25" s="1">
        <f t="shared" si="13"/>
        <v>8</v>
      </c>
      <c r="U25" s="1" t="str">
        <f t="shared" si="14"/>
        <v>Optimismo</v>
      </c>
    </row>
    <row r="26" spans="1:21" x14ac:dyDescent="0.2">
      <c r="A26" s="3" t="s">
        <v>34</v>
      </c>
      <c r="B26" s="1">
        <v>0</v>
      </c>
      <c r="C26" s="1" t="s">
        <v>9</v>
      </c>
      <c r="D26" s="1">
        <v>0.5</v>
      </c>
      <c r="E26" s="4">
        <v>2021</v>
      </c>
      <c r="H26" s="1">
        <f t="shared" si="1"/>
        <v>1</v>
      </c>
      <c r="I26" s="1">
        <f t="shared" si="2"/>
        <v>0.8</v>
      </c>
      <c r="J26" s="1">
        <f t="shared" si="3"/>
        <v>0.6</v>
      </c>
      <c r="K26" s="1">
        <f t="shared" si="4"/>
        <v>0.4</v>
      </c>
      <c r="L26" s="1">
        <f t="shared" si="5"/>
        <v>0.2</v>
      </c>
      <c r="M26" s="1">
        <f t="shared" si="6"/>
        <v>0</v>
      </c>
      <c r="N26" s="1">
        <f t="shared" si="7"/>
        <v>0.2</v>
      </c>
      <c r="O26" s="1">
        <f t="shared" si="8"/>
        <v>0.4</v>
      </c>
      <c r="P26" s="1">
        <f t="shared" si="9"/>
        <v>0.6</v>
      </c>
      <c r="Q26" s="1">
        <f t="shared" si="10"/>
        <v>0.8</v>
      </c>
      <c r="R26" s="1">
        <f t="shared" si="11"/>
        <v>1</v>
      </c>
      <c r="S26" s="1">
        <f t="shared" si="12"/>
        <v>0</v>
      </c>
      <c r="T26" s="1">
        <f t="shared" si="13"/>
        <v>6</v>
      </c>
      <c r="U26" s="1" t="str">
        <f t="shared" si="14"/>
        <v xml:space="preserve">Neutral </v>
      </c>
    </row>
    <row r="27" spans="1:21" x14ac:dyDescent="0.2">
      <c r="A27" s="3" t="s">
        <v>35</v>
      </c>
      <c r="B27" s="1">
        <v>0.128</v>
      </c>
      <c r="C27" s="1" t="s">
        <v>36</v>
      </c>
      <c r="D27" s="1">
        <v>0.6</v>
      </c>
      <c r="E27" s="4">
        <v>2021</v>
      </c>
      <c r="H27" s="1">
        <f t="shared" si="1"/>
        <v>1</v>
      </c>
      <c r="I27" s="1">
        <f t="shared" si="2"/>
        <v>0.8</v>
      </c>
      <c r="J27" s="1">
        <f t="shared" si="3"/>
        <v>0.6</v>
      </c>
      <c r="K27" s="1">
        <f t="shared" si="4"/>
        <v>0.4</v>
      </c>
      <c r="L27" s="1">
        <f t="shared" si="5"/>
        <v>0.2</v>
      </c>
      <c r="M27" s="1">
        <f t="shared" si="6"/>
        <v>0</v>
      </c>
      <c r="N27" s="1">
        <f t="shared" si="7"/>
        <v>0.2</v>
      </c>
      <c r="O27" s="1">
        <f t="shared" si="8"/>
        <v>0.4</v>
      </c>
      <c r="P27" s="1">
        <f t="shared" si="9"/>
        <v>0.6</v>
      </c>
      <c r="Q27" s="1">
        <f t="shared" si="10"/>
        <v>0.8</v>
      </c>
      <c r="R27" s="1">
        <f t="shared" si="11"/>
        <v>1</v>
      </c>
      <c r="S27" s="1">
        <f t="shared" si="12"/>
        <v>0</v>
      </c>
      <c r="T27" s="1">
        <f t="shared" si="13"/>
        <v>6</v>
      </c>
      <c r="U27" s="1" t="str">
        <f t="shared" si="14"/>
        <v xml:space="preserve">Neutral </v>
      </c>
    </row>
    <row r="28" spans="1:21" x14ac:dyDescent="0.2">
      <c r="A28" s="3" t="s">
        <v>37</v>
      </c>
      <c r="B28" s="1">
        <v>-0.47670000000000001</v>
      </c>
      <c r="C28" s="1" t="s">
        <v>23</v>
      </c>
      <c r="D28" s="1">
        <v>0.3</v>
      </c>
      <c r="E28" s="4">
        <v>2021</v>
      </c>
      <c r="H28" s="1">
        <f t="shared" si="1"/>
        <v>1.1280000000000001</v>
      </c>
      <c r="I28" s="1">
        <f t="shared" si="2"/>
        <v>0.92800000000000005</v>
      </c>
      <c r="J28" s="1">
        <f t="shared" si="3"/>
        <v>0.72799999999999998</v>
      </c>
      <c r="K28" s="1">
        <f t="shared" si="4"/>
        <v>0.52800000000000002</v>
      </c>
      <c r="L28" s="1">
        <f t="shared" si="5"/>
        <v>0.32800000000000001</v>
      </c>
      <c r="M28" s="1">
        <f t="shared" si="6"/>
        <v>0.128</v>
      </c>
      <c r="N28" s="1">
        <f t="shared" si="7"/>
        <v>7.2000000000000008E-2</v>
      </c>
      <c r="O28" s="1">
        <f t="shared" si="8"/>
        <v>0.27200000000000002</v>
      </c>
      <c r="P28" s="1">
        <f t="shared" si="9"/>
        <v>0.47199999999999998</v>
      </c>
      <c r="Q28" s="1">
        <f t="shared" si="10"/>
        <v>0.67200000000000004</v>
      </c>
      <c r="R28" s="1">
        <f t="shared" si="11"/>
        <v>0.872</v>
      </c>
      <c r="S28" s="1">
        <f t="shared" si="12"/>
        <v>7.2000000000000008E-2</v>
      </c>
      <c r="T28" s="1">
        <f t="shared" si="13"/>
        <v>7</v>
      </c>
      <c r="U28" s="1" t="str">
        <f t="shared" si="14"/>
        <v>Favorable</v>
      </c>
    </row>
    <row r="29" spans="1:21" x14ac:dyDescent="0.2">
      <c r="A29" s="3" t="s">
        <v>38</v>
      </c>
      <c r="B29" s="1">
        <v>0</v>
      </c>
      <c r="C29" s="1" t="s">
        <v>9</v>
      </c>
      <c r="D29" s="1">
        <v>0.5</v>
      </c>
      <c r="E29" s="4">
        <v>2021</v>
      </c>
      <c r="H29" s="1">
        <f t="shared" si="1"/>
        <v>0.52329999999999999</v>
      </c>
      <c r="I29" s="1">
        <f t="shared" si="2"/>
        <v>0.32330000000000003</v>
      </c>
      <c r="J29" s="1">
        <f t="shared" si="3"/>
        <v>0.12329999999999997</v>
      </c>
      <c r="K29" s="1">
        <f t="shared" si="4"/>
        <v>7.669999999999999E-2</v>
      </c>
      <c r="L29" s="1">
        <f t="shared" si="5"/>
        <v>0.2767</v>
      </c>
      <c r="M29" s="1">
        <f t="shared" si="6"/>
        <v>0.47670000000000001</v>
      </c>
      <c r="N29" s="1">
        <f t="shared" si="7"/>
        <v>0.67670000000000008</v>
      </c>
      <c r="O29" s="1">
        <f t="shared" si="8"/>
        <v>0.87670000000000003</v>
      </c>
      <c r="P29" s="1">
        <f t="shared" si="9"/>
        <v>1.0767</v>
      </c>
      <c r="Q29" s="1">
        <f t="shared" si="10"/>
        <v>1.2766999999999999</v>
      </c>
      <c r="R29" s="1">
        <f t="shared" si="11"/>
        <v>1.4767000000000001</v>
      </c>
      <c r="S29" s="1">
        <f t="shared" si="12"/>
        <v>7.669999999999999E-2</v>
      </c>
      <c r="T29" s="1">
        <f t="shared" si="13"/>
        <v>4</v>
      </c>
      <c r="U29" s="1" t="str">
        <f t="shared" si="14"/>
        <v>Escepticismo</v>
      </c>
    </row>
    <row r="30" spans="1:21" x14ac:dyDescent="0.2">
      <c r="A30" s="3" t="s">
        <v>39</v>
      </c>
      <c r="B30" s="1">
        <v>-0.1779</v>
      </c>
      <c r="C30" s="1" t="s">
        <v>25</v>
      </c>
      <c r="D30" s="1">
        <v>0.4</v>
      </c>
      <c r="E30" s="4">
        <v>2021</v>
      </c>
      <c r="H30" s="1">
        <f t="shared" si="1"/>
        <v>1</v>
      </c>
      <c r="I30" s="1">
        <f t="shared" si="2"/>
        <v>0.8</v>
      </c>
      <c r="J30" s="1">
        <f t="shared" si="3"/>
        <v>0.6</v>
      </c>
      <c r="K30" s="1">
        <f t="shared" si="4"/>
        <v>0.4</v>
      </c>
      <c r="L30" s="1">
        <f t="shared" si="5"/>
        <v>0.2</v>
      </c>
      <c r="M30" s="1">
        <f t="shared" si="6"/>
        <v>0</v>
      </c>
      <c r="N30" s="1">
        <f t="shared" si="7"/>
        <v>0.2</v>
      </c>
      <c r="O30" s="1">
        <f t="shared" si="8"/>
        <v>0.4</v>
      </c>
      <c r="P30" s="1">
        <f t="shared" si="9"/>
        <v>0.6</v>
      </c>
      <c r="Q30" s="1">
        <f t="shared" si="10"/>
        <v>0.8</v>
      </c>
      <c r="R30" s="1">
        <f t="shared" si="11"/>
        <v>1</v>
      </c>
      <c r="S30" s="1">
        <f t="shared" si="12"/>
        <v>0</v>
      </c>
      <c r="T30" s="1">
        <f t="shared" si="13"/>
        <v>6</v>
      </c>
      <c r="U30" s="1" t="str">
        <f t="shared" si="14"/>
        <v xml:space="preserve">Neutral </v>
      </c>
    </row>
    <row r="31" spans="1:21" x14ac:dyDescent="0.2">
      <c r="A31" s="3" t="s">
        <v>40</v>
      </c>
      <c r="B31" s="1">
        <v>4.2799999999999998E-2</v>
      </c>
      <c r="C31" s="1" t="s">
        <v>9</v>
      </c>
      <c r="D31" s="1">
        <v>0.5</v>
      </c>
      <c r="E31" s="4">
        <v>2021</v>
      </c>
      <c r="H31" s="1">
        <f t="shared" si="1"/>
        <v>0.82210000000000005</v>
      </c>
      <c r="I31" s="1">
        <f t="shared" si="2"/>
        <v>0.6221000000000001</v>
      </c>
      <c r="J31" s="1">
        <f t="shared" si="3"/>
        <v>0.42209999999999998</v>
      </c>
      <c r="K31" s="1">
        <f t="shared" si="4"/>
        <v>0.22210000000000002</v>
      </c>
      <c r="L31" s="1">
        <f t="shared" si="5"/>
        <v>2.2100000000000009E-2</v>
      </c>
      <c r="M31" s="1">
        <f t="shared" si="6"/>
        <v>0.1779</v>
      </c>
      <c r="N31" s="1">
        <f t="shared" si="7"/>
        <v>0.37790000000000001</v>
      </c>
      <c r="O31" s="1">
        <f t="shared" si="8"/>
        <v>0.57790000000000008</v>
      </c>
      <c r="P31" s="1">
        <f t="shared" si="9"/>
        <v>0.77790000000000004</v>
      </c>
      <c r="Q31" s="1">
        <f t="shared" si="10"/>
        <v>0.97789999999999999</v>
      </c>
      <c r="R31" s="1">
        <f t="shared" si="11"/>
        <v>1.1778999999999999</v>
      </c>
      <c r="S31" s="1">
        <f t="shared" si="12"/>
        <v>2.2100000000000009E-2</v>
      </c>
      <c r="T31" s="1">
        <f t="shared" si="13"/>
        <v>5</v>
      </c>
      <c r="U31" s="1" t="str">
        <f t="shared" si="14"/>
        <v>Indiferente</v>
      </c>
    </row>
    <row r="32" spans="1:21" x14ac:dyDescent="0.2">
      <c r="A32" s="3" t="s">
        <v>41</v>
      </c>
      <c r="B32" s="1">
        <v>0.94130000000000003</v>
      </c>
      <c r="C32" s="1" t="s">
        <v>42</v>
      </c>
      <c r="D32" s="1">
        <v>1</v>
      </c>
      <c r="E32" s="4">
        <v>2021</v>
      </c>
      <c r="H32" s="1">
        <f t="shared" si="1"/>
        <v>1.0427999999999999</v>
      </c>
      <c r="I32" s="1">
        <f t="shared" si="2"/>
        <v>0.84279999999999999</v>
      </c>
      <c r="J32" s="1">
        <f t="shared" si="3"/>
        <v>0.64279999999999993</v>
      </c>
      <c r="K32" s="1">
        <f t="shared" si="4"/>
        <v>0.44280000000000003</v>
      </c>
      <c r="L32" s="1">
        <f t="shared" si="5"/>
        <v>0.24280000000000002</v>
      </c>
      <c r="M32" s="1">
        <f t="shared" si="6"/>
        <v>4.2799999999999998E-2</v>
      </c>
      <c r="N32" s="1">
        <f t="shared" si="7"/>
        <v>0.15720000000000001</v>
      </c>
      <c r="O32" s="1">
        <f t="shared" si="8"/>
        <v>0.35720000000000002</v>
      </c>
      <c r="P32" s="1">
        <f t="shared" si="9"/>
        <v>0.55720000000000003</v>
      </c>
      <c r="Q32" s="1">
        <f t="shared" si="10"/>
        <v>0.7572000000000001</v>
      </c>
      <c r="R32" s="1">
        <f t="shared" si="11"/>
        <v>0.95720000000000005</v>
      </c>
      <c r="S32" s="1">
        <f t="shared" si="12"/>
        <v>4.2799999999999998E-2</v>
      </c>
      <c r="T32" s="1">
        <f t="shared" si="13"/>
        <v>6</v>
      </c>
      <c r="U32" s="1" t="str">
        <f t="shared" si="14"/>
        <v xml:space="preserve">Neutral </v>
      </c>
    </row>
    <row r="33" spans="1:21" x14ac:dyDescent="0.2">
      <c r="A33" s="3" t="s">
        <v>43</v>
      </c>
      <c r="B33" s="1">
        <v>0.38179999999999997</v>
      </c>
      <c r="C33" s="1" t="s">
        <v>11</v>
      </c>
      <c r="D33" s="1">
        <v>0.7</v>
      </c>
      <c r="E33" s="4">
        <v>2021</v>
      </c>
      <c r="H33" s="1">
        <f t="shared" si="1"/>
        <v>1.9413</v>
      </c>
      <c r="I33" s="1">
        <f t="shared" si="2"/>
        <v>1.7413000000000001</v>
      </c>
      <c r="J33" s="1">
        <f t="shared" si="3"/>
        <v>1.5413000000000001</v>
      </c>
      <c r="K33" s="1">
        <f t="shared" si="4"/>
        <v>1.3412999999999999</v>
      </c>
      <c r="L33" s="1">
        <f t="shared" si="5"/>
        <v>1.1413</v>
      </c>
      <c r="M33" s="1">
        <f t="shared" si="6"/>
        <v>0.94130000000000003</v>
      </c>
      <c r="N33" s="1">
        <f t="shared" si="7"/>
        <v>0.74130000000000007</v>
      </c>
      <c r="O33" s="1">
        <f t="shared" si="8"/>
        <v>0.5413</v>
      </c>
      <c r="P33" s="1">
        <f t="shared" si="9"/>
        <v>0.34130000000000005</v>
      </c>
      <c r="Q33" s="1">
        <f t="shared" si="10"/>
        <v>0.14129999999999998</v>
      </c>
      <c r="R33" s="1">
        <f t="shared" si="11"/>
        <v>5.8699999999999974E-2</v>
      </c>
      <c r="S33" s="1">
        <f t="shared" si="12"/>
        <v>5.8699999999999974E-2</v>
      </c>
      <c r="T33" s="1">
        <f t="shared" si="13"/>
        <v>11</v>
      </c>
      <c r="U33" s="1" t="str">
        <f t="shared" si="14"/>
        <v xml:space="preserve">Confianza </v>
      </c>
    </row>
    <row r="34" spans="1:21" x14ac:dyDescent="0.2">
      <c r="A34" s="3" t="s">
        <v>44</v>
      </c>
      <c r="B34" s="1">
        <v>0</v>
      </c>
      <c r="C34" s="1" t="s">
        <v>9</v>
      </c>
      <c r="D34" s="1">
        <v>0.5</v>
      </c>
      <c r="E34" s="4">
        <v>2021</v>
      </c>
      <c r="H34" s="1">
        <f t="shared" si="1"/>
        <v>1.3817999999999999</v>
      </c>
      <c r="I34" s="1">
        <f t="shared" si="2"/>
        <v>1.1818</v>
      </c>
      <c r="J34" s="1">
        <f t="shared" si="3"/>
        <v>0.98180000000000001</v>
      </c>
      <c r="K34" s="1">
        <f t="shared" si="4"/>
        <v>0.78180000000000005</v>
      </c>
      <c r="L34" s="1">
        <f t="shared" si="5"/>
        <v>0.58179999999999998</v>
      </c>
      <c r="M34" s="1">
        <f t="shared" si="6"/>
        <v>0.38179999999999997</v>
      </c>
      <c r="N34" s="1">
        <f t="shared" si="7"/>
        <v>0.18179999999999996</v>
      </c>
      <c r="O34" s="1">
        <f t="shared" si="8"/>
        <v>1.8200000000000049E-2</v>
      </c>
      <c r="P34" s="1">
        <f t="shared" si="9"/>
        <v>0.21820000000000001</v>
      </c>
      <c r="Q34" s="1">
        <f t="shared" si="10"/>
        <v>0.41820000000000007</v>
      </c>
      <c r="R34" s="1">
        <f t="shared" si="11"/>
        <v>0.61820000000000008</v>
      </c>
      <c r="S34" s="1">
        <f t="shared" si="12"/>
        <v>1.8200000000000049E-2</v>
      </c>
      <c r="T34" s="1">
        <f t="shared" si="13"/>
        <v>8</v>
      </c>
      <c r="U34" s="1" t="str">
        <f t="shared" si="14"/>
        <v>Optimismo</v>
      </c>
    </row>
    <row r="35" spans="1:21" x14ac:dyDescent="0.2">
      <c r="A35" s="3" t="s">
        <v>45</v>
      </c>
      <c r="B35" s="1">
        <v>-0.5423</v>
      </c>
      <c r="C35" s="1" t="s">
        <v>46</v>
      </c>
      <c r="D35" s="1">
        <v>0.2</v>
      </c>
      <c r="E35" s="4">
        <v>2021</v>
      </c>
      <c r="H35" s="1">
        <f t="shared" si="1"/>
        <v>1</v>
      </c>
      <c r="I35" s="1">
        <f t="shared" si="2"/>
        <v>0.8</v>
      </c>
      <c r="J35" s="1">
        <f t="shared" si="3"/>
        <v>0.6</v>
      </c>
      <c r="K35" s="1">
        <f t="shared" si="4"/>
        <v>0.4</v>
      </c>
      <c r="L35" s="1">
        <f t="shared" si="5"/>
        <v>0.2</v>
      </c>
      <c r="M35" s="1">
        <f t="shared" si="6"/>
        <v>0</v>
      </c>
      <c r="N35" s="1">
        <f t="shared" si="7"/>
        <v>0.2</v>
      </c>
      <c r="O35" s="1">
        <f t="shared" si="8"/>
        <v>0.4</v>
      </c>
      <c r="P35" s="1">
        <f t="shared" si="9"/>
        <v>0.6</v>
      </c>
      <c r="Q35" s="1">
        <f t="shared" si="10"/>
        <v>0.8</v>
      </c>
      <c r="R35" s="1">
        <f t="shared" si="11"/>
        <v>1</v>
      </c>
      <c r="S35" s="1">
        <f t="shared" si="12"/>
        <v>0</v>
      </c>
      <c r="T35" s="1">
        <f t="shared" si="13"/>
        <v>6</v>
      </c>
      <c r="U35" s="1" t="str">
        <f t="shared" si="14"/>
        <v xml:space="preserve">Neutral </v>
      </c>
    </row>
    <row r="36" spans="1:21" x14ac:dyDescent="0.2">
      <c r="A36" s="3" t="s">
        <v>47</v>
      </c>
      <c r="B36" s="1">
        <v>0.1027</v>
      </c>
      <c r="C36" s="1" t="s">
        <v>36</v>
      </c>
      <c r="D36" s="1">
        <v>0.6</v>
      </c>
      <c r="E36" s="4">
        <v>2021</v>
      </c>
      <c r="H36" s="1">
        <f t="shared" si="1"/>
        <v>0.4577</v>
      </c>
      <c r="I36" s="1">
        <f t="shared" si="2"/>
        <v>0.25770000000000004</v>
      </c>
      <c r="J36" s="1">
        <f t="shared" si="3"/>
        <v>5.7699999999999974E-2</v>
      </c>
      <c r="K36" s="1">
        <f t="shared" si="4"/>
        <v>0.14229999999999998</v>
      </c>
      <c r="L36" s="1">
        <f t="shared" si="5"/>
        <v>0.34229999999999999</v>
      </c>
      <c r="M36" s="1">
        <f t="shared" si="6"/>
        <v>0.5423</v>
      </c>
      <c r="N36" s="1">
        <f t="shared" si="7"/>
        <v>0.74229999999999996</v>
      </c>
      <c r="O36" s="1">
        <f t="shared" si="8"/>
        <v>0.94230000000000003</v>
      </c>
      <c r="P36" s="1">
        <f t="shared" si="9"/>
        <v>1.1423000000000001</v>
      </c>
      <c r="Q36" s="1">
        <f t="shared" si="10"/>
        <v>1.3423</v>
      </c>
      <c r="R36" s="1">
        <f t="shared" si="11"/>
        <v>1.5423</v>
      </c>
      <c r="S36" s="1">
        <f t="shared" si="12"/>
        <v>5.7699999999999974E-2</v>
      </c>
      <c r="T36" s="1">
        <f t="shared" si="13"/>
        <v>3</v>
      </c>
      <c r="U36" s="1" t="str">
        <f t="shared" si="14"/>
        <v>Inestabilidad</v>
      </c>
    </row>
    <row r="37" spans="1:21" x14ac:dyDescent="0.2">
      <c r="A37" s="3" t="s">
        <v>48</v>
      </c>
      <c r="B37" s="1">
        <v>0.69079999999999997</v>
      </c>
      <c r="C37" s="1" t="s">
        <v>5</v>
      </c>
      <c r="D37" s="1">
        <v>0.8</v>
      </c>
      <c r="E37" s="4">
        <v>2021</v>
      </c>
      <c r="H37" s="1">
        <f t="shared" si="1"/>
        <v>1.1027</v>
      </c>
      <c r="I37" s="1">
        <f t="shared" si="2"/>
        <v>0.90270000000000006</v>
      </c>
      <c r="J37" s="1">
        <f t="shared" si="3"/>
        <v>0.70269999999999999</v>
      </c>
      <c r="K37" s="1">
        <f t="shared" si="4"/>
        <v>0.50270000000000004</v>
      </c>
      <c r="L37" s="1">
        <f t="shared" si="5"/>
        <v>0.30270000000000002</v>
      </c>
      <c r="M37" s="1">
        <f t="shared" si="6"/>
        <v>0.1027</v>
      </c>
      <c r="N37" s="1">
        <f t="shared" si="7"/>
        <v>9.7300000000000011E-2</v>
      </c>
      <c r="O37" s="1">
        <f t="shared" si="8"/>
        <v>0.29730000000000001</v>
      </c>
      <c r="P37" s="1">
        <f t="shared" si="9"/>
        <v>0.49729999999999996</v>
      </c>
      <c r="Q37" s="1">
        <f t="shared" si="10"/>
        <v>0.69730000000000003</v>
      </c>
      <c r="R37" s="1">
        <f t="shared" si="11"/>
        <v>0.89729999999999999</v>
      </c>
      <c r="S37" s="1">
        <f t="shared" si="12"/>
        <v>9.7300000000000011E-2</v>
      </c>
      <c r="T37" s="1">
        <f t="shared" si="13"/>
        <v>7</v>
      </c>
      <c r="U37" s="1" t="str">
        <f t="shared" si="14"/>
        <v>Favorable</v>
      </c>
    </row>
    <row r="38" spans="1:21" x14ac:dyDescent="0.2">
      <c r="A38" s="3" t="s">
        <v>49</v>
      </c>
      <c r="B38" s="1">
        <v>0.38179999999999997</v>
      </c>
      <c r="C38" s="1" t="s">
        <v>11</v>
      </c>
      <c r="D38" s="1">
        <v>0.7</v>
      </c>
      <c r="E38" s="4">
        <v>2021</v>
      </c>
      <c r="H38" s="1">
        <f t="shared" si="1"/>
        <v>1.6907999999999999</v>
      </c>
      <c r="I38" s="1">
        <f t="shared" si="2"/>
        <v>1.4908000000000001</v>
      </c>
      <c r="J38" s="1">
        <f t="shared" si="3"/>
        <v>1.2907999999999999</v>
      </c>
      <c r="K38" s="1">
        <f t="shared" si="4"/>
        <v>1.0908</v>
      </c>
      <c r="L38" s="1">
        <f t="shared" si="5"/>
        <v>0.89080000000000004</v>
      </c>
      <c r="M38" s="1">
        <f t="shared" si="6"/>
        <v>0.69079999999999997</v>
      </c>
      <c r="N38" s="1">
        <f t="shared" si="7"/>
        <v>0.49079999999999996</v>
      </c>
      <c r="O38" s="1">
        <f t="shared" si="8"/>
        <v>0.29079999999999995</v>
      </c>
      <c r="P38" s="1">
        <f t="shared" si="9"/>
        <v>9.0799999999999992E-2</v>
      </c>
      <c r="Q38" s="1">
        <f t="shared" si="10"/>
        <v>0.10920000000000007</v>
      </c>
      <c r="R38" s="1">
        <f t="shared" si="11"/>
        <v>0.30920000000000003</v>
      </c>
      <c r="S38" s="1">
        <f t="shared" si="12"/>
        <v>9.0799999999999992E-2</v>
      </c>
      <c r="T38" s="1">
        <f t="shared" si="13"/>
        <v>9</v>
      </c>
      <c r="U38" s="1" t="str">
        <f t="shared" si="14"/>
        <v xml:space="preserve">Convicción </v>
      </c>
    </row>
    <row r="39" spans="1:21" x14ac:dyDescent="0.2">
      <c r="A39" s="3" t="s">
        <v>50</v>
      </c>
      <c r="B39" s="1">
        <v>0</v>
      </c>
      <c r="C39" s="1" t="s">
        <v>9</v>
      </c>
      <c r="D39" s="1">
        <v>0.5</v>
      </c>
      <c r="E39" s="4">
        <v>2021</v>
      </c>
      <c r="H39" s="1">
        <f t="shared" si="1"/>
        <v>1.3817999999999999</v>
      </c>
      <c r="I39" s="1">
        <f t="shared" si="2"/>
        <v>1.1818</v>
      </c>
      <c r="J39" s="1">
        <f t="shared" si="3"/>
        <v>0.98180000000000001</v>
      </c>
      <c r="K39" s="1">
        <f t="shared" si="4"/>
        <v>0.78180000000000005</v>
      </c>
      <c r="L39" s="1">
        <f t="shared" si="5"/>
        <v>0.58179999999999998</v>
      </c>
      <c r="M39" s="1">
        <f t="shared" si="6"/>
        <v>0.38179999999999997</v>
      </c>
      <c r="N39" s="1">
        <f t="shared" si="7"/>
        <v>0.18179999999999996</v>
      </c>
      <c r="O39" s="1">
        <f t="shared" si="8"/>
        <v>1.8200000000000049E-2</v>
      </c>
      <c r="P39" s="1">
        <f t="shared" si="9"/>
        <v>0.21820000000000001</v>
      </c>
      <c r="Q39" s="1">
        <f t="shared" si="10"/>
        <v>0.41820000000000007</v>
      </c>
      <c r="R39" s="1">
        <f t="shared" si="11"/>
        <v>0.61820000000000008</v>
      </c>
      <c r="S39" s="1">
        <f t="shared" si="12"/>
        <v>1.8200000000000049E-2</v>
      </c>
      <c r="T39" s="1">
        <f t="shared" si="13"/>
        <v>8</v>
      </c>
      <c r="U39" s="1" t="str">
        <f t="shared" si="14"/>
        <v>Optimismo</v>
      </c>
    </row>
    <row r="40" spans="1:21" x14ac:dyDescent="0.2">
      <c r="A40" s="3" t="s">
        <v>51</v>
      </c>
      <c r="B40" s="1">
        <v>0</v>
      </c>
      <c r="C40" s="1" t="s">
        <v>9</v>
      </c>
      <c r="D40" s="1">
        <v>0.5</v>
      </c>
      <c r="E40" s="4">
        <v>2021</v>
      </c>
      <c r="H40" s="1">
        <f t="shared" si="1"/>
        <v>1</v>
      </c>
      <c r="I40" s="1">
        <f t="shared" si="2"/>
        <v>0.8</v>
      </c>
      <c r="J40" s="1">
        <f t="shared" si="3"/>
        <v>0.6</v>
      </c>
      <c r="K40" s="1">
        <f t="shared" si="4"/>
        <v>0.4</v>
      </c>
      <c r="L40" s="1">
        <f t="shared" si="5"/>
        <v>0.2</v>
      </c>
      <c r="M40" s="1">
        <f t="shared" si="6"/>
        <v>0</v>
      </c>
      <c r="N40" s="1">
        <f t="shared" si="7"/>
        <v>0.2</v>
      </c>
      <c r="O40" s="1">
        <f t="shared" si="8"/>
        <v>0.4</v>
      </c>
      <c r="P40" s="1">
        <f t="shared" si="9"/>
        <v>0.6</v>
      </c>
      <c r="Q40" s="1">
        <f t="shared" si="10"/>
        <v>0.8</v>
      </c>
      <c r="R40" s="1">
        <f t="shared" si="11"/>
        <v>1</v>
      </c>
      <c r="S40" s="1">
        <f t="shared" si="12"/>
        <v>0</v>
      </c>
      <c r="T40" s="1">
        <f t="shared" si="13"/>
        <v>6</v>
      </c>
      <c r="U40" s="1" t="str">
        <f t="shared" si="14"/>
        <v xml:space="preserve">Neutral </v>
      </c>
    </row>
    <row r="41" spans="1:21" x14ac:dyDescent="0.2">
      <c r="A41" s="3" t="s">
        <v>52</v>
      </c>
      <c r="B41" s="1">
        <v>-0.2263</v>
      </c>
      <c r="C41" s="1" t="s">
        <v>25</v>
      </c>
      <c r="D41" s="1">
        <v>0.4</v>
      </c>
      <c r="E41" s="4">
        <v>2021</v>
      </c>
      <c r="H41" s="1">
        <f t="shared" si="1"/>
        <v>1</v>
      </c>
      <c r="I41" s="1">
        <f t="shared" si="2"/>
        <v>0.8</v>
      </c>
      <c r="J41" s="1">
        <f t="shared" si="3"/>
        <v>0.6</v>
      </c>
      <c r="K41" s="1">
        <f t="shared" si="4"/>
        <v>0.4</v>
      </c>
      <c r="L41" s="1">
        <f t="shared" si="5"/>
        <v>0.2</v>
      </c>
      <c r="M41" s="1">
        <f t="shared" si="6"/>
        <v>0</v>
      </c>
      <c r="N41" s="1">
        <f t="shared" si="7"/>
        <v>0.2</v>
      </c>
      <c r="O41" s="1">
        <f t="shared" si="8"/>
        <v>0.4</v>
      </c>
      <c r="P41" s="1">
        <f t="shared" si="9"/>
        <v>0.6</v>
      </c>
      <c r="Q41" s="1">
        <f t="shared" si="10"/>
        <v>0.8</v>
      </c>
      <c r="R41" s="1">
        <f t="shared" si="11"/>
        <v>1</v>
      </c>
      <c r="S41" s="1">
        <f t="shared" si="12"/>
        <v>0</v>
      </c>
      <c r="T41" s="1">
        <f t="shared" si="13"/>
        <v>6</v>
      </c>
      <c r="U41" s="1" t="str">
        <f t="shared" si="14"/>
        <v xml:space="preserve">Neutral </v>
      </c>
    </row>
    <row r="42" spans="1:21" x14ac:dyDescent="0.2">
      <c r="A42" s="3" t="s">
        <v>53</v>
      </c>
      <c r="B42" s="1">
        <v>-0.44040000000000001</v>
      </c>
      <c r="C42" s="1" t="s">
        <v>23</v>
      </c>
      <c r="D42" s="1">
        <v>0.3</v>
      </c>
      <c r="E42" s="4">
        <v>2021</v>
      </c>
      <c r="H42" s="1">
        <f t="shared" si="1"/>
        <v>0.77370000000000005</v>
      </c>
      <c r="I42" s="1">
        <f t="shared" si="2"/>
        <v>0.5737000000000001</v>
      </c>
      <c r="J42" s="1">
        <f t="shared" si="3"/>
        <v>0.37369999999999998</v>
      </c>
      <c r="K42" s="1">
        <f t="shared" si="4"/>
        <v>0.17370000000000002</v>
      </c>
      <c r="L42" s="1">
        <f t="shared" si="5"/>
        <v>2.629999999999999E-2</v>
      </c>
      <c r="M42" s="1">
        <f t="shared" si="6"/>
        <v>0.2263</v>
      </c>
      <c r="N42" s="1">
        <f t="shared" si="7"/>
        <v>0.42630000000000001</v>
      </c>
      <c r="O42" s="1">
        <f t="shared" si="8"/>
        <v>0.62630000000000008</v>
      </c>
      <c r="P42" s="1">
        <f t="shared" si="9"/>
        <v>0.82630000000000003</v>
      </c>
      <c r="Q42" s="1">
        <f t="shared" si="10"/>
        <v>1.0263</v>
      </c>
      <c r="R42" s="1">
        <f t="shared" si="11"/>
        <v>1.2262999999999999</v>
      </c>
      <c r="S42" s="1">
        <f t="shared" si="12"/>
        <v>2.629999999999999E-2</v>
      </c>
      <c r="T42" s="1">
        <f t="shared" si="13"/>
        <v>5</v>
      </c>
      <c r="U42" s="1" t="str">
        <f t="shared" si="14"/>
        <v>Indiferente</v>
      </c>
    </row>
    <row r="43" spans="1:21" x14ac:dyDescent="0.2">
      <c r="A43" s="3" t="s">
        <v>54</v>
      </c>
      <c r="B43" s="1">
        <v>0.34</v>
      </c>
      <c r="C43" s="1" t="s">
        <v>11</v>
      </c>
      <c r="D43" s="1">
        <v>0.7</v>
      </c>
      <c r="E43" s="4">
        <v>2021</v>
      </c>
      <c r="H43" s="1">
        <f t="shared" si="1"/>
        <v>0.55959999999999999</v>
      </c>
      <c r="I43" s="1">
        <f t="shared" si="2"/>
        <v>0.35960000000000003</v>
      </c>
      <c r="J43" s="1">
        <f t="shared" si="3"/>
        <v>0.15959999999999996</v>
      </c>
      <c r="K43" s="1">
        <f t="shared" si="4"/>
        <v>4.0399999999999991E-2</v>
      </c>
      <c r="L43" s="1">
        <f t="shared" si="5"/>
        <v>0.2404</v>
      </c>
      <c r="M43" s="1">
        <f t="shared" si="6"/>
        <v>0.44040000000000001</v>
      </c>
      <c r="N43" s="1">
        <f t="shared" si="7"/>
        <v>0.64040000000000008</v>
      </c>
      <c r="O43" s="1">
        <f t="shared" si="8"/>
        <v>0.84040000000000004</v>
      </c>
      <c r="P43" s="1">
        <f t="shared" si="9"/>
        <v>1.0404</v>
      </c>
      <c r="Q43" s="1">
        <f t="shared" si="10"/>
        <v>1.2404000000000002</v>
      </c>
      <c r="R43" s="1">
        <f t="shared" si="11"/>
        <v>1.4403999999999999</v>
      </c>
      <c r="S43" s="1">
        <f t="shared" si="12"/>
        <v>4.0399999999999991E-2</v>
      </c>
      <c r="T43" s="1">
        <f t="shared" si="13"/>
        <v>4</v>
      </c>
      <c r="U43" s="1" t="str">
        <f t="shared" si="14"/>
        <v>Escepticismo</v>
      </c>
    </row>
    <row r="44" spans="1:21" x14ac:dyDescent="0.2">
      <c r="A44" s="3" t="s">
        <v>55</v>
      </c>
      <c r="B44" s="1">
        <v>-0.40189999999999998</v>
      </c>
      <c r="C44" s="1" t="s">
        <v>23</v>
      </c>
      <c r="D44" s="1">
        <v>0.3</v>
      </c>
      <c r="E44" s="4">
        <v>2021</v>
      </c>
      <c r="H44" s="1">
        <f t="shared" si="1"/>
        <v>1.34</v>
      </c>
      <c r="I44" s="1">
        <f t="shared" si="2"/>
        <v>1.1400000000000001</v>
      </c>
      <c r="J44" s="1">
        <f t="shared" si="3"/>
        <v>0.94</v>
      </c>
      <c r="K44" s="1">
        <f t="shared" si="4"/>
        <v>0.74</v>
      </c>
      <c r="L44" s="1">
        <f t="shared" si="5"/>
        <v>0.54</v>
      </c>
      <c r="M44" s="1">
        <f t="shared" si="6"/>
        <v>0.34</v>
      </c>
      <c r="N44" s="1">
        <f t="shared" si="7"/>
        <v>0.14000000000000001</v>
      </c>
      <c r="O44" s="1">
        <f t="shared" si="8"/>
        <v>0.06</v>
      </c>
      <c r="P44" s="1">
        <f t="shared" si="9"/>
        <v>0.25999999999999995</v>
      </c>
      <c r="Q44" s="1">
        <f t="shared" si="10"/>
        <v>0.46</v>
      </c>
      <c r="R44" s="1">
        <f t="shared" si="11"/>
        <v>0.65999999999999992</v>
      </c>
      <c r="S44" s="1">
        <f t="shared" si="12"/>
        <v>0.06</v>
      </c>
      <c r="T44" s="1">
        <f t="shared" si="13"/>
        <v>8</v>
      </c>
      <c r="U44" s="1" t="str">
        <f t="shared" si="14"/>
        <v>Optimismo</v>
      </c>
    </row>
    <row r="45" spans="1:21" x14ac:dyDescent="0.2">
      <c r="A45" s="3" t="s">
        <v>56</v>
      </c>
      <c r="B45" s="1">
        <v>0.15129999999999999</v>
      </c>
      <c r="C45" s="1" t="s">
        <v>36</v>
      </c>
      <c r="D45" s="1">
        <v>0.6</v>
      </c>
      <c r="E45" s="4">
        <v>2021</v>
      </c>
      <c r="H45" s="1">
        <f t="shared" si="1"/>
        <v>0.59810000000000008</v>
      </c>
      <c r="I45" s="1">
        <f t="shared" si="2"/>
        <v>0.39810000000000006</v>
      </c>
      <c r="J45" s="1">
        <f t="shared" si="3"/>
        <v>0.1981</v>
      </c>
      <c r="K45" s="1">
        <f t="shared" si="4"/>
        <v>1.8999999999999573E-3</v>
      </c>
      <c r="L45" s="1">
        <f t="shared" si="5"/>
        <v>0.20189999999999997</v>
      </c>
      <c r="M45" s="1">
        <f t="shared" si="6"/>
        <v>0.40189999999999998</v>
      </c>
      <c r="N45" s="1">
        <f t="shared" si="7"/>
        <v>0.60189999999999999</v>
      </c>
      <c r="O45" s="1">
        <f t="shared" si="8"/>
        <v>0.80190000000000006</v>
      </c>
      <c r="P45" s="1">
        <f t="shared" si="9"/>
        <v>1.0019</v>
      </c>
      <c r="Q45" s="1">
        <f t="shared" si="10"/>
        <v>1.2019</v>
      </c>
      <c r="R45" s="1">
        <f t="shared" si="11"/>
        <v>1.4018999999999999</v>
      </c>
      <c r="S45" s="1">
        <f t="shared" si="12"/>
        <v>1.8999999999999573E-3</v>
      </c>
      <c r="T45" s="1">
        <f t="shared" si="13"/>
        <v>4</v>
      </c>
      <c r="U45" s="1" t="str">
        <f t="shared" si="14"/>
        <v>Escepticismo</v>
      </c>
    </row>
    <row r="46" spans="1:21" x14ac:dyDescent="0.2">
      <c r="A46" s="3" t="s">
        <v>57</v>
      </c>
      <c r="B46" s="1">
        <v>-0.31819999999999998</v>
      </c>
      <c r="C46" s="1" t="s">
        <v>23</v>
      </c>
      <c r="D46" s="1">
        <v>0.3</v>
      </c>
      <c r="E46" s="4">
        <v>2021</v>
      </c>
      <c r="H46" s="1">
        <f t="shared" si="1"/>
        <v>1.1513</v>
      </c>
      <c r="I46" s="1">
        <f t="shared" si="2"/>
        <v>0.95130000000000003</v>
      </c>
      <c r="J46" s="1">
        <f t="shared" si="3"/>
        <v>0.75129999999999997</v>
      </c>
      <c r="K46" s="1">
        <f t="shared" si="4"/>
        <v>0.55130000000000001</v>
      </c>
      <c r="L46" s="1">
        <f t="shared" si="5"/>
        <v>0.3513</v>
      </c>
      <c r="M46" s="1">
        <f t="shared" si="6"/>
        <v>0.15129999999999999</v>
      </c>
      <c r="N46" s="1">
        <f t="shared" si="7"/>
        <v>4.8700000000000021E-2</v>
      </c>
      <c r="O46" s="1">
        <f t="shared" si="8"/>
        <v>0.24870000000000003</v>
      </c>
      <c r="P46" s="1">
        <f t="shared" si="9"/>
        <v>0.44869999999999999</v>
      </c>
      <c r="Q46" s="1">
        <f t="shared" si="10"/>
        <v>0.64870000000000005</v>
      </c>
      <c r="R46" s="1">
        <f t="shared" si="11"/>
        <v>0.84870000000000001</v>
      </c>
      <c r="S46" s="1">
        <f t="shared" si="12"/>
        <v>4.8700000000000021E-2</v>
      </c>
      <c r="T46" s="1">
        <f t="shared" si="13"/>
        <v>7</v>
      </c>
      <c r="U46" s="1" t="str">
        <f t="shared" si="14"/>
        <v>Favorable</v>
      </c>
    </row>
    <row r="47" spans="1:21" x14ac:dyDescent="0.2">
      <c r="A47" s="3" t="s">
        <v>58</v>
      </c>
      <c r="B47" s="1">
        <v>0</v>
      </c>
      <c r="C47" s="1" t="s">
        <v>9</v>
      </c>
      <c r="D47" s="1">
        <v>0.5</v>
      </c>
      <c r="E47" s="4">
        <v>2021</v>
      </c>
      <c r="H47" s="1">
        <f t="shared" si="1"/>
        <v>0.68179999999999996</v>
      </c>
      <c r="I47" s="1">
        <f t="shared" si="2"/>
        <v>0.48180000000000006</v>
      </c>
      <c r="J47" s="1">
        <f t="shared" si="3"/>
        <v>0.28179999999999999</v>
      </c>
      <c r="K47" s="1">
        <f t="shared" si="4"/>
        <v>8.1800000000000039E-2</v>
      </c>
      <c r="L47" s="1">
        <f t="shared" si="5"/>
        <v>0.11819999999999997</v>
      </c>
      <c r="M47" s="1">
        <f t="shared" si="6"/>
        <v>0.31819999999999998</v>
      </c>
      <c r="N47" s="1">
        <f t="shared" si="7"/>
        <v>0.51819999999999999</v>
      </c>
      <c r="O47" s="1">
        <f t="shared" si="8"/>
        <v>0.71819999999999995</v>
      </c>
      <c r="P47" s="1">
        <f t="shared" si="9"/>
        <v>0.91819999999999991</v>
      </c>
      <c r="Q47" s="1">
        <f t="shared" si="10"/>
        <v>1.1182000000000001</v>
      </c>
      <c r="R47" s="1">
        <f t="shared" si="11"/>
        <v>1.3182</v>
      </c>
      <c r="S47" s="1">
        <f t="shared" si="12"/>
        <v>8.1800000000000039E-2</v>
      </c>
      <c r="T47" s="1">
        <f t="shared" si="13"/>
        <v>4</v>
      </c>
      <c r="U47" s="1" t="str">
        <f t="shared" si="14"/>
        <v>Escepticismo</v>
      </c>
    </row>
    <row r="48" spans="1:21" x14ac:dyDescent="0.2">
      <c r="A48" s="3" t="s">
        <v>59</v>
      </c>
      <c r="B48" s="1">
        <v>0.36120000000000002</v>
      </c>
      <c r="C48" s="1" t="s">
        <v>11</v>
      </c>
      <c r="D48" s="1">
        <v>0.7</v>
      </c>
      <c r="E48" s="4">
        <v>2021</v>
      </c>
      <c r="H48" s="1">
        <f t="shared" si="1"/>
        <v>1</v>
      </c>
      <c r="I48" s="1">
        <f t="shared" si="2"/>
        <v>0.8</v>
      </c>
      <c r="J48" s="1">
        <f t="shared" si="3"/>
        <v>0.6</v>
      </c>
      <c r="K48" s="1">
        <f t="shared" si="4"/>
        <v>0.4</v>
      </c>
      <c r="L48" s="1">
        <f t="shared" si="5"/>
        <v>0.2</v>
      </c>
      <c r="M48" s="1">
        <f t="shared" si="6"/>
        <v>0</v>
      </c>
      <c r="N48" s="1">
        <f t="shared" si="7"/>
        <v>0.2</v>
      </c>
      <c r="O48" s="1">
        <f t="shared" si="8"/>
        <v>0.4</v>
      </c>
      <c r="P48" s="1">
        <f t="shared" si="9"/>
        <v>0.6</v>
      </c>
      <c r="Q48" s="1">
        <f t="shared" si="10"/>
        <v>0.8</v>
      </c>
      <c r="R48" s="1">
        <f t="shared" si="11"/>
        <v>1</v>
      </c>
      <c r="S48" s="1">
        <f t="shared" si="12"/>
        <v>0</v>
      </c>
      <c r="T48" s="1">
        <f t="shared" si="13"/>
        <v>6</v>
      </c>
      <c r="U48" s="1" t="str">
        <f t="shared" si="14"/>
        <v xml:space="preserve">Neutral </v>
      </c>
    </row>
    <row r="49" spans="1:21" x14ac:dyDescent="0.2">
      <c r="A49" s="3" t="s">
        <v>60</v>
      </c>
      <c r="B49" s="1">
        <v>0.20230000000000001</v>
      </c>
      <c r="C49" s="1" t="s">
        <v>36</v>
      </c>
      <c r="D49" s="1">
        <v>0.6</v>
      </c>
      <c r="E49" s="4">
        <v>2021</v>
      </c>
      <c r="H49" s="1">
        <f t="shared" si="1"/>
        <v>1.3612</v>
      </c>
      <c r="I49" s="1">
        <f t="shared" si="2"/>
        <v>1.1612</v>
      </c>
      <c r="J49" s="1">
        <f t="shared" si="3"/>
        <v>0.96120000000000005</v>
      </c>
      <c r="K49" s="1">
        <f t="shared" si="4"/>
        <v>0.7612000000000001</v>
      </c>
      <c r="L49" s="1">
        <f t="shared" si="5"/>
        <v>0.56120000000000003</v>
      </c>
      <c r="M49" s="1">
        <f t="shared" si="6"/>
        <v>0.36120000000000002</v>
      </c>
      <c r="N49" s="1">
        <f t="shared" si="7"/>
        <v>0.16120000000000001</v>
      </c>
      <c r="O49" s="1">
        <f t="shared" si="8"/>
        <v>3.8800000000000001E-2</v>
      </c>
      <c r="P49" s="1">
        <f t="shared" si="9"/>
        <v>0.23879999999999996</v>
      </c>
      <c r="Q49" s="1">
        <f t="shared" si="10"/>
        <v>0.43880000000000002</v>
      </c>
      <c r="R49" s="1">
        <f t="shared" si="11"/>
        <v>0.63880000000000003</v>
      </c>
      <c r="S49" s="1">
        <f t="shared" si="12"/>
        <v>3.8800000000000001E-2</v>
      </c>
      <c r="T49" s="1">
        <f t="shared" si="13"/>
        <v>8</v>
      </c>
      <c r="U49" s="1" t="str">
        <f t="shared" si="14"/>
        <v>Optimismo</v>
      </c>
    </row>
    <row r="50" spans="1:21" x14ac:dyDescent="0.2">
      <c r="A50" s="3" t="s">
        <v>61</v>
      </c>
      <c r="B50" s="1">
        <v>0</v>
      </c>
      <c r="C50" s="1" t="s">
        <v>9</v>
      </c>
      <c r="D50" s="1">
        <v>0.5</v>
      </c>
      <c r="E50" s="4">
        <v>2021</v>
      </c>
      <c r="H50" s="1">
        <f t="shared" si="1"/>
        <v>1.2022999999999999</v>
      </c>
      <c r="I50" s="1">
        <f t="shared" si="2"/>
        <v>1.0023</v>
      </c>
      <c r="J50" s="1">
        <f t="shared" si="3"/>
        <v>0.80230000000000001</v>
      </c>
      <c r="K50" s="1">
        <f t="shared" si="4"/>
        <v>0.60230000000000006</v>
      </c>
      <c r="L50" s="1">
        <f t="shared" si="5"/>
        <v>0.40229999999999999</v>
      </c>
      <c r="M50" s="1">
        <f t="shared" si="6"/>
        <v>0.20230000000000001</v>
      </c>
      <c r="N50" s="1">
        <f t="shared" si="7"/>
        <v>2.2999999999999965E-3</v>
      </c>
      <c r="O50" s="1">
        <f t="shared" si="8"/>
        <v>0.19770000000000001</v>
      </c>
      <c r="P50" s="1">
        <f t="shared" si="9"/>
        <v>0.39769999999999994</v>
      </c>
      <c r="Q50" s="1">
        <f t="shared" si="10"/>
        <v>0.59770000000000001</v>
      </c>
      <c r="R50" s="1">
        <f t="shared" si="11"/>
        <v>0.79769999999999996</v>
      </c>
      <c r="S50" s="1">
        <f t="shared" si="12"/>
        <v>2.2999999999999965E-3</v>
      </c>
      <c r="T50" s="1">
        <f t="shared" si="13"/>
        <v>7</v>
      </c>
      <c r="U50" s="1" t="str">
        <f t="shared" si="14"/>
        <v>Favorable</v>
      </c>
    </row>
    <row r="51" spans="1:21" x14ac:dyDescent="0.2">
      <c r="A51" s="3" t="s">
        <v>62</v>
      </c>
      <c r="B51" s="1">
        <v>0.85550000000000004</v>
      </c>
      <c r="C51" s="1" t="s">
        <v>18</v>
      </c>
      <c r="D51" s="1">
        <v>0.9</v>
      </c>
      <c r="E51" s="4">
        <v>2021</v>
      </c>
      <c r="H51" s="1">
        <f t="shared" si="1"/>
        <v>1</v>
      </c>
      <c r="I51" s="1">
        <f t="shared" si="2"/>
        <v>0.8</v>
      </c>
      <c r="J51" s="1">
        <f t="shared" si="3"/>
        <v>0.6</v>
      </c>
      <c r="K51" s="1">
        <f t="shared" si="4"/>
        <v>0.4</v>
      </c>
      <c r="L51" s="1">
        <f t="shared" si="5"/>
        <v>0.2</v>
      </c>
      <c r="M51" s="1">
        <f t="shared" si="6"/>
        <v>0</v>
      </c>
      <c r="N51" s="1">
        <f t="shared" si="7"/>
        <v>0.2</v>
      </c>
      <c r="O51" s="1">
        <f t="shared" si="8"/>
        <v>0.4</v>
      </c>
      <c r="P51" s="1">
        <f t="shared" si="9"/>
        <v>0.6</v>
      </c>
      <c r="Q51" s="1">
        <f t="shared" si="10"/>
        <v>0.8</v>
      </c>
      <c r="R51" s="1">
        <f t="shared" si="11"/>
        <v>1</v>
      </c>
      <c r="S51" s="1">
        <f t="shared" si="12"/>
        <v>0</v>
      </c>
      <c r="T51" s="1">
        <f t="shared" si="13"/>
        <v>6</v>
      </c>
      <c r="U51" s="1" t="str">
        <f t="shared" si="14"/>
        <v xml:space="preserve">Neutral </v>
      </c>
    </row>
    <row r="52" spans="1:21" x14ac:dyDescent="0.2">
      <c r="A52" s="3" t="s">
        <v>63</v>
      </c>
      <c r="B52" s="1">
        <v>0.39190000000000003</v>
      </c>
      <c r="C52" s="1" t="s">
        <v>11</v>
      </c>
      <c r="D52" s="1">
        <v>0.7</v>
      </c>
      <c r="E52" s="4">
        <v>2021</v>
      </c>
      <c r="H52" s="1">
        <f t="shared" si="1"/>
        <v>1.8555000000000001</v>
      </c>
      <c r="I52" s="1">
        <f t="shared" si="2"/>
        <v>1.6555</v>
      </c>
      <c r="J52" s="1">
        <f t="shared" si="3"/>
        <v>1.4555</v>
      </c>
      <c r="K52" s="1">
        <f t="shared" si="4"/>
        <v>1.2555000000000001</v>
      </c>
      <c r="L52" s="1">
        <f t="shared" si="5"/>
        <v>1.0555000000000001</v>
      </c>
      <c r="M52" s="1">
        <f t="shared" si="6"/>
        <v>0.85550000000000004</v>
      </c>
      <c r="N52" s="1">
        <f t="shared" si="7"/>
        <v>0.65549999999999997</v>
      </c>
      <c r="O52" s="1">
        <f t="shared" si="8"/>
        <v>0.45550000000000002</v>
      </c>
      <c r="P52" s="1">
        <f t="shared" si="9"/>
        <v>0.25550000000000006</v>
      </c>
      <c r="Q52" s="1">
        <f t="shared" si="10"/>
        <v>5.5499999999999994E-2</v>
      </c>
      <c r="R52" s="1">
        <f t="shared" si="11"/>
        <v>0.14449999999999996</v>
      </c>
      <c r="S52" s="1">
        <f t="shared" si="12"/>
        <v>5.5499999999999994E-2</v>
      </c>
      <c r="T52" s="1">
        <f t="shared" si="13"/>
        <v>10</v>
      </c>
      <c r="U52" s="1" t="str">
        <f t="shared" si="14"/>
        <v xml:space="preserve">Consolidado </v>
      </c>
    </row>
    <row r="53" spans="1:21" x14ac:dyDescent="0.2">
      <c r="A53" s="3" t="s">
        <v>64</v>
      </c>
      <c r="B53" s="1">
        <v>0.36120000000000002</v>
      </c>
      <c r="C53" s="1" t="s">
        <v>11</v>
      </c>
      <c r="D53" s="1">
        <v>0.7</v>
      </c>
      <c r="E53" s="4">
        <v>2021</v>
      </c>
      <c r="H53" s="1">
        <f t="shared" si="1"/>
        <v>1.3919000000000001</v>
      </c>
      <c r="I53" s="1">
        <f t="shared" si="2"/>
        <v>1.1919</v>
      </c>
      <c r="J53" s="1">
        <f t="shared" si="3"/>
        <v>0.9919</v>
      </c>
      <c r="K53" s="1">
        <f t="shared" si="4"/>
        <v>0.79190000000000005</v>
      </c>
      <c r="L53" s="1">
        <f t="shared" si="5"/>
        <v>0.59190000000000009</v>
      </c>
      <c r="M53" s="1">
        <f t="shared" si="6"/>
        <v>0.39190000000000003</v>
      </c>
      <c r="N53" s="1">
        <f t="shared" si="7"/>
        <v>0.19190000000000002</v>
      </c>
      <c r="O53" s="1">
        <f t="shared" si="8"/>
        <v>8.0999999999999961E-3</v>
      </c>
      <c r="P53" s="1">
        <f t="shared" si="9"/>
        <v>0.20809999999999995</v>
      </c>
      <c r="Q53" s="1">
        <f t="shared" si="10"/>
        <v>0.40810000000000002</v>
      </c>
      <c r="R53" s="1">
        <f t="shared" si="11"/>
        <v>0.60809999999999997</v>
      </c>
      <c r="S53" s="1">
        <f t="shared" si="12"/>
        <v>8.0999999999999961E-3</v>
      </c>
      <c r="T53" s="1">
        <f t="shared" si="13"/>
        <v>8</v>
      </c>
      <c r="U53" s="1" t="str">
        <f t="shared" si="14"/>
        <v>Optimismo</v>
      </c>
    </row>
    <row r="54" spans="1:21" x14ac:dyDescent="0.2">
      <c r="A54" s="3" t="s">
        <v>65</v>
      </c>
      <c r="B54" s="1">
        <v>0.40189999999999998</v>
      </c>
      <c r="C54" s="1" t="s">
        <v>11</v>
      </c>
      <c r="D54" s="1">
        <v>0.7</v>
      </c>
      <c r="E54" s="4">
        <v>2021</v>
      </c>
      <c r="H54" s="1">
        <f t="shared" si="1"/>
        <v>1.3612</v>
      </c>
      <c r="I54" s="1">
        <f t="shared" si="2"/>
        <v>1.1612</v>
      </c>
      <c r="J54" s="1">
        <f t="shared" si="3"/>
        <v>0.96120000000000005</v>
      </c>
      <c r="K54" s="1">
        <f t="shared" si="4"/>
        <v>0.7612000000000001</v>
      </c>
      <c r="L54" s="1">
        <f t="shared" si="5"/>
        <v>0.56120000000000003</v>
      </c>
      <c r="M54" s="1">
        <f t="shared" si="6"/>
        <v>0.36120000000000002</v>
      </c>
      <c r="N54" s="1">
        <f t="shared" si="7"/>
        <v>0.16120000000000001</v>
      </c>
      <c r="O54" s="1">
        <f t="shared" si="8"/>
        <v>3.8800000000000001E-2</v>
      </c>
      <c r="P54" s="1">
        <f t="shared" si="9"/>
        <v>0.23879999999999996</v>
      </c>
      <c r="Q54" s="1">
        <f t="shared" si="10"/>
        <v>0.43880000000000002</v>
      </c>
      <c r="R54" s="1">
        <f t="shared" si="11"/>
        <v>0.63880000000000003</v>
      </c>
      <c r="S54" s="1">
        <f t="shared" si="12"/>
        <v>3.8800000000000001E-2</v>
      </c>
      <c r="T54" s="1">
        <f t="shared" si="13"/>
        <v>8</v>
      </c>
      <c r="U54" s="1" t="str">
        <f t="shared" si="14"/>
        <v>Optimismo</v>
      </c>
    </row>
    <row r="55" spans="1:21" x14ac:dyDescent="0.2">
      <c r="A55" s="3" t="s">
        <v>66</v>
      </c>
      <c r="B55" s="1">
        <v>0.86580000000000001</v>
      </c>
      <c r="C55" s="1" t="s">
        <v>18</v>
      </c>
      <c r="D55" s="1">
        <v>0.9</v>
      </c>
      <c r="E55" s="4">
        <v>2021</v>
      </c>
      <c r="H55" s="1">
        <f t="shared" si="1"/>
        <v>1.4018999999999999</v>
      </c>
      <c r="I55" s="1">
        <f t="shared" si="2"/>
        <v>1.2019</v>
      </c>
      <c r="J55" s="1">
        <f t="shared" si="3"/>
        <v>1.0019</v>
      </c>
      <c r="K55" s="1">
        <f t="shared" si="4"/>
        <v>0.80190000000000006</v>
      </c>
      <c r="L55" s="1">
        <f t="shared" si="5"/>
        <v>0.60189999999999999</v>
      </c>
      <c r="M55" s="1">
        <f t="shared" si="6"/>
        <v>0.40189999999999998</v>
      </c>
      <c r="N55" s="1">
        <f t="shared" si="7"/>
        <v>0.20189999999999997</v>
      </c>
      <c r="O55" s="1">
        <f t="shared" si="8"/>
        <v>1.8999999999999573E-3</v>
      </c>
      <c r="P55" s="1">
        <f t="shared" si="9"/>
        <v>0.1981</v>
      </c>
      <c r="Q55" s="1">
        <f t="shared" si="10"/>
        <v>0.39810000000000006</v>
      </c>
      <c r="R55" s="1">
        <f t="shared" si="11"/>
        <v>0.59810000000000008</v>
      </c>
      <c r="S55" s="1">
        <f t="shared" si="12"/>
        <v>1.8999999999999573E-3</v>
      </c>
      <c r="T55" s="1">
        <f t="shared" si="13"/>
        <v>8</v>
      </c>
      <c r="U55" s="1" t="str">
        <f t="shared" si="14"/>
        <v>Optimismo</v>
      </c>
    </row>
    <row r="56" spans="1:21" x14ac:dyDescent="0.2">
      <c r="A56" s="3" t="s">
        <v>67</v>
      </c>
      <c r="B56" s="1">
        <v>0.85550000000000004</v>
      </c>
      <c r="C56" s="1" t="s">
        <v>18</v>
      </c>
      <c r="D56" s="1">
        <v>0.9</v>
      </c>
      <c r="E56" s="4">
        <v>2021</v>
      </c>
      <c r="H56" s="1">
        <f t="shared" si="1"/>
        <v>1.8658000000000001</v>
      </c>
      <c r="I56" s="1">
        <f t="shared" si="2"/>
        <v>1.6657999999999999</v>
      </c>
      <c r="J56" s="1">
        <f t="shared" si="3"/>
        <v>1.4658</v>
      </c>
      <c r="K56" s="1">
        <f t="shared" si="4"/>
        <v>1.2658</v>
      </c>
      <c r="L56" s="1">
        <f t="shared" si="5"/>
        <v>1.0658000000000001</v>
      </c>
      <c r="M56" s="1">
        <f t="shared" si="6"/>
        <v>0.86580000000000001</v>
      </c>
      <c r="N56" s="1">
        <f t="shared" si="7"/>
        <v>0.66579999999999995</v>
      </c>
      <c r="O56" s="1">
        <f t="shared" si="8"/>
        <v>0.46579999999999999</v>
      </c>
      <c r="P56" s="1">
        <f t="shared" si="9"/>
        <v>0.26580000000000004</v>
      </c>
      <c r="Q56" s="1">
        <f t="shared" si="10"/>
        <v>6.579999999999997E-2</v>
      </c>
      <c r="R56" s="1">
        <f t="shared" si="11"/>
        <v>0.13419999999999999</v>
      </c>
      <c r="S56" s="1">
        <f t="shared" si="12"/>
        <v>6.579999999999997E-2</v>
      </c>
      <c r="T56" s="1">
        <f t="shared" si="13"/>
        <v>10</v>
      </c>
      <c r="U56" s="1" t="str">
        <f t="shared" si="14"/>
        <v xml:space="preserve">Consolidado </v>
      </c>
    </row>
    <row r="57" spans="1:21" x14ac:dyDescent="0.2">
      <c r="A57" s="3" t="s">
        <v>68</v>
      </c>
      <c r="B57" s="1">
        <v>0.77829999999999999</v>
      </c>
      <c r="C57" s="1" t="s">
        <v>18</v>
      </c>
      <c r="D57" s="1">
        <v>0.9</v>
      </c>
      <c r="E57" s="4">
        <v>2021</v>
      </c>
      <c r="H57" s="1">
        <f t="shared" si="1"/>
        <v>1.8555000000000001</v>
      </c>
      <c r="I57" s="1">
        <f t="shared" si="2"/>
        <v>1.6555</v>
      </c>
      <c r="J57" s="1">
        <f t="shared" si="3"/>
        <v>1.4555</v>
      </c>
      <c r="K57" s="1">
        <f t="shared" si="4"/>
        <v>1.2555000000000001</v>
      </c>
      <c r="L57" s="1">
        <f t="shared" si="5"/>
        <v>1.0555000000000001</v>
      </c>
      <c r="M57" s="1">
        <f t="shared" si="6"/>
        <v>0.85550000000000004</v>
      </c>
      <c r="N57" s="1">
        <f t="shared" si="7"/>
        <v>0.65549999999999997</v>
      </c>
      <c r="O57" s="1">
        <f t="shared" si="8"/>
        <v>0.45550000000000002</v>
      </c>
      <c r="P57" s="1">
        <f t="shared" si="9"/>
        <v>0.25550000000000006</v>
      </c>
      <c r="Q57" s="1">
        <f t="shared" si="10"/>
        <v>5.5499999999999994E-2</v>
      </c>
      <c r="R57" s="1">
        <f t="shared" si="11"/>
        <v>0.14449999999999996</v>
      </c>
      <c r="S57" s="1">
        <f t="shared" si="12"/>
        <v>5.5499999999999994E-2</v>
      </c>
      <c r="T57" s="1">
        <f t="shared" si="13"/>
        <v>10</v>
      </c>
      <c r="U57" s="1" t="str">
        <f t="shared" si="14"/>
        <v xml:space="preserve">Consolidado </v>
      </c>
    </row>
    <row r="58" spans="1:21" x14ac:dyDescent="0.2">
      <c r="A58" s="3" t="s">
        <v>69</v>
      </c>
      <c r="B58" s="1">
        <v>0.2263</v>
      </c>
      <c r="C58" s="1" t="s">
        <v>36</v>
      </c>
      <c r="D58" s="1">
        <v>0.6</v>
      </c>
      <c r="E58" s="4">
        <v>2021</v>
      </c>
      <c r="H58" s="1">
        <f t="shared" si="1"/>
        <v>1.7783</v>
      </c>
      <c r="I58" s="1">
        <f t="shared" si="2"/>
        <v>1.5783</v>
      </c>
      <c r="J58" s="1">
        <f t="shared" si="3"/>
        <v>1.3782999999999999</v>
      </c>
      <c r="K58" s="1">
        <f t="shared" si="4"/>
        <v>1.1783000000000001</v>
      </c>
      <c r="L58" s="1">
        <f t="shared" si="5"/>
        <v>0.97829999999999995</v>
      </c>
      <c r="M58" s="1">
        <f t="shared" si="6"/>
        <v>0.77829999999999999</v>
      </c>
      <c r="N58" s="1">
        <f t="shared" si="7"/>
        <v>0.57830000000000004</v>
      </c>
      <c r="O58" s="1">
        <f t="shared" si="8"/>
        <v>0.37829999999999997</v>
      </c>
      <c r="P58" s="1">
        <f t="shared" si="9"/>
        <v>0.17830000000000001</v>
      </c>
      <c r="Q58" s="1">
        <f t="shared" si="10"/>
        <v>2.1700000000000053E-2</v>
      </c>
      <c r="R58" s="1">
        <f t="shared" si="11"/>
        <v>0.22170000000000001</v>
      </c>
      <c r="S58" s="1">
        <f t="shared" si="12"/>
        <v>2.1700000000000053E-2</v>
      </c>
      <c r="T58" s="1">
        <f t="shared" si="13"/>
        <v>10</v>
      </c>
      <c r="U58" s="1" t="str">
        <f t="shared" si="14"/>
        <v xml:space="preserve">Consolidado </v>
      </c>
    </row>
    <row r="59" spans="1:21" x14ac:dyDescent="0.2">
      <c r="A59" s="3" t="s">
        <v>70</v>
      </c>
      <c r="B59" s="1">
        <v>0.2732</v>
      </c>
      <c r="C59" s="1" t="s">
        <v>36</v>
      </c>
      <c r="D59" s="1">
        <v>0.6</v>
      </c>
      <c r="E59" s="4">
        <v>2021</v>
      </c>
      <c r="H59" s="1">
        <f t="shared" si="1"/>
        <v>1.2262999999999999</v>
      </c>
      <c r="I59" s="1">
        <f t="shared" si="2"/>
        <v>1.0263</v>
      </c>
      <c r="J59" s="1">
        <f t="shared" si="3"/>
        <v>0.82630000000000003</v>
      </c>
      <c r="K59" s="1">
        <f t="shared" si="4"/>
        <v>0.62630000000000008</v>
      </c>
      <c r="L59" s="1">
        <f t="shared" si="5"/>
        <v>0.42630000000000001</v>
      </c>
      <c r="M59" s="1">
        <f t="shared" si="6"/>
        <v>0.2263</v>
      </c>
      <c r="N59" s="1">
        <f t="shared" si="7"/>
        <v>2.629999999999999E-2</v>
      </c>
      <c r="O59" s="1">
        <f t="shared" si="8"/>
        <v>0.17370000000000002</v>
      </c>
      <c r="P59" s="1">
        <f t="shared" si="9"/>
        <v>0.37369999999999998</v>
      </c>
      <c r="Q59" s="1">
        <f t="shared" si="10"/>
        <v>0.5737000000000001</v>
      </c>
      <c r="R59" s="1">
        <f t="shared" si="11"/>
        <v>0.77370000000000005</v>
      </c>
      <c r="S59" s="1">
        <f t="shared" si="12"/>
        <v>2.629999999999999E-2</v>
      </c>
      <c r="T59" s="1">
        <f t="shared" si="13"/>
        <v>7</v>
      </c>
      <c r="U59" s="1" t="str">
        <f t="shared" si="14"/>
        <v>Favorable</v>
      </c>
    </row>
    <row r="60" spans="1:21" x14ac:dyDescent="0.2">
      <c r="A60" s="3" t="s">
        <v>71</v>
      </c>
      <c r="B60" s="1">
        <v>0</v>
      </c>
      <c r="C60" s="1" t="s">
        <v>9</v>
      </c>
      <c r="D60" s="1">
        <v>0.5</v>
      </c>
      <c r="E60" s="4">
        <v>2021</v>
      </c>
      <c r="H60" s="1">
        <f t="shared" si="1"/>
        <v>1.2732000000000001</v>
      </c>
      <c r="I60" s="1">
        <f t="shared" si="2"/>
        <v>1.0731999999999999</v>
      </c>
      <c r="J60" s="1">
        <f t="shared" si="3"/>
        <v>0.87319999999999998</v>
      </c>
      <c r="K60" s="1">
        <f t="shared" si="4"/>
        <v>0.67320000000000002</v>
      </c>
      <c r="L60" s="1">
        <f t="shared" si="5"/>
        <v>0.47320000000000001</v>
      </c>
      <c r="M60" s="1">
        <f t="shared" si="6"/>
        <v>0.2732</v>
      </c>
      <c r="N60" s="1">
        <f t="shared" si="7"/>
        <v>7.3199999999999987E-2</v>
      </c>
      <c r="O60" s="1">
        <f t="shared" si="8"/>
        <v>0.12680000000000002</v>
      </c>
      <c r="P60" s="1">
        <f t="shared" si="9"/>
        <v>0.32679999999999998</v>
      </c>
      <c r="Q60" s="1">
        <f t="shared" si="10"/>
        <v>0.52680000000000005</v>
      </c>
      <c r="R60" s="1">
        <f t="shared" si="11"/>
        <v>0.7268</v>
      </c>
      <c r="S60" s="1">
        <f t="shared" si="12"/>
        <v>7.3199999999999987E-2</v>
      </c>
      <c r="T60" s="1">
        <f t="shared" si="13"/>
        <v>7</v>
      </c>
      <c r="U60" s="1" t="str">
        <f t="shared" si="14"/>
        <v>Favorable</v>
      </c>
    </row>
    <row r="61" spans="1:21" x14ac:dyDescent="0.2">
      <c r="A61" s="3" t="s">
        <v>72</v>
      </c>
      <c r="B61" s="1">
        <v>-7.7200000000000005E-2</v>
      </c>
      <c r="C61" s="1" t="s">
        <v>9</v>
      </c>
      <c r="D61" s="1">
        <v>0.5</v>
      </c>
      <c r="E61" s="4">
        <v>2022</v>
      </c>
      <c r="H61" s="1">
        <f t="shared" si="1"/>
        <v>1</v>
      </c>
      <c r="I61" s="1">
        <f t="shared" si="2"/>
        <v>0.8</v>
      </c>
      <c r="J61" s="1">
        <f t="shared" si="3"/>
        <v>0.6</v>
      </c>
      <c r="K61" s="1">
        <f t="shared" si="4"/>
        <v>0.4</v>
      </c>
      <c r="L61" s="1">
        <f t="shared" si="5"/>
        <v>0.2</v>
      </c>
      <c r="M61" s="1">
        <f t="shared" si="6"/>
        <v>0</v>
      </c>
      <c r="N61" s="1">
        <f t="shared" si="7"/>
        <v>0.2</v>
      </c>
      <c r="O61" s="1">
        <f t="shared" si="8"/>
        <v>0.4</v>
      </c>
      <c r="P61" s="1">
        <f t="shared" si="9"/>
        <v>0.6</v>
      </c>
      <c r="Q61" s="1">
        <f t="shared" si="10"/>
        <v>0.8</v>
      </c>
      <c r="R61" s="1">
        <f t="shared" si="11"/>
        <v>1</v>
      </c>
      <c r="S61" s="1">
        <f t="shared" si="12"/>
        <v>0</v>
      </c>
      <c r="T61" s="1">
        <f t="shared" si="13"/>
        <v>6</v>
      </c>
      <c r="U61" s="1" t="str">
        <f t="shared" si="14"/>
        <v xml:space="preserve">Neutral </v>
      </c>
    </row>
    <row r="62" spans="1:21" x14ac:dyDescent="0.2">
      <c r="A62" s="3" t="s">
        <v>73</v>
      </c>
      <c r="B62" s="1">
        <v>3.1E-2</v>
      </c>
      <c r="C62" s="1" t="s">
        <v>9</v>
      </c>
      <c r="D62" s="1">
        <v>0.5</v>
      </c>
      <c r="E62" s="4">
        <v>2022</v>
      </c>
      <c r="H62" s="1">
        <f t="shared" si="1"/>
        <v>0.92279999999999995</v>
      </c>
      <c r="I62" s="1">
        <f t="shared" si="2"/>
        <v>0.7228</v>
      </c>
      <c r="J62" s="1">
        <f t="shared" si="3"/>
        <v>0.52279999999999993</v>
      </c>
      <c r="K62" s="1">
        <f t="shared" si="4"/>
        <v>0.32280000000000003</v>
      </c>
      <c r="L62" s="1">
        <f t="shared" si="5"/>
        <v>0.12280000000000001</v>
      </c>
      <c r="M62" s="1">
        <f t="shared" si="6"/>
        <v>7.7200000000000005E-2</v>
      </c>
      <c r="N62" s="1">
        <f t="shared" si="7"/>
        <v>0.2772</v>
      </c>
      <c r="O62" s="1">
        <f t="shared" si="8"/>
        <v>0.47720000000000001</v>
      </c>
      <c r="P62" s="1">
        <f t="shared" si="9"/>
        <v>0.67720000000000002</v>
      </c>
      <c r="Q62" s="1">
        <f t="shared" si="10"/>
        <v>0.87720000000000009</v>
      </c>
      <c r="R62" s="1">
        <f t="shared" si="11"/>
        <v>1.0771999999999999</v>
      </c>
      <c r="S62" s="1">
        <f t="shared" si="12"/>
        <v>7.7200000000000005E-2</v>
      </c>
      <c r="T62" s="1">
        <f t="shared" si="13"/>
        <v>6</v>
      </c>
      <c r="U62" s="1" t="str">
        <f t="shared" si="14"/>
        <v xml:space="preserve">Neutral </v>
      </c>
    </row>
    <row r="63" spans="1:21" x14ac:dyDescent="0.2">
      <c r="A63" s="3" t="s">
        <v>74</v>
      </c>
      <c r="B63" s="1">
        <v>0.5302</v>
      </c>
      <c r="C63" s="1" t="s">
        <v>5</v>
      </c>
      <c r="D63" s="1">
        <v>0.8</v>
      </c>
      <c r="E63" s="4">
        <v>2022</v>
      </c>
      <c r="H63" s="1">
        <f t="shared" si="1"/>
        <v>1.0309999999999999</v>
      </c>
      <c r="I63" s="1">
        <f t="shared" si="2"/>
        <v>0.83100000000000007</v>
      </c>
      <c r="J63" s="1">
        <f t="shared" si="3"/>
        <v>0.63100000000000001</v>
      </c>
      <c r="K63" s="1">
        <f t="shared" si="4"/>
        <v>0.43100000000000005</v>
      </c>
      <c r="L63" s="1">
        <f t="shared" si="5"/>
        <v>0.23100000000000001</v>
      </c>
      <c r="M63" s="1">
        <f t="shared" si="6"/>
        <v>3.1E-2</v>
      </c>
      <c r="N63" s="1">
        <f t="shared" si="7"/>
        <v>0.16900000000000001</v>
      </c>
      <c r="O63" s="1">
        <f t="shared" si="8"/>
        <v>0.36899999999999999</v>
      </c>
      <c r="P63" s="1">
        <f t="shared" si="9"/>
        <v>0.56899999999999995</v>
      </c>
      <c r="Q63" s="1">
        <f t="shared" si="10"/>
        <v>0.76900000000000002</v>
      </c>
      <c r="R63" s="1">
        <f t="shared" si="11"/>
        <v>0.96899999999999997</v>
      </c>
      <c r="S63" s="1">
        <f t="shared" si="12"/>
        <v>3.1E-2</v>
      </c>
      <c r="T63" s="1">
        <f t="shared" si="13"/>
        <v>6</v>
      </c>
      <c r="U63" s="1" t="str">
        <f t="shared" si="14"/>
        <v xml:space="preserve">Neutral </v>
      </c>
    </row>
    <row r="64" spans="1:21" x14ac:dyDescent="0.2">
      <c r="A64" s="3" t="s">
        <v>75</v>
      </c>
      <c r="B64" s="1">
        <v>0.52669999999999995</v>
      </c>
      <c r="C64" s="1" t="s">
        <v>5</v>
      </c>
      <c r="D64" s="1">
        <v>0.8</v>
      </c>
      <c r="E64" s="4">
        <v>2022</v>
      </c>
      <c r="H64" s="1">
        <f t="shared" si="1"/>
        <v>1.5302</v>
      </c>
      <c r="I64" s="1">
        <f t="shared" si="2"/>
        <v>1.3302</v>
      </c>
      <c r="J64" s="1">
        <f t="shared" si="3"/>
        <v>1.1301999999999999</v>
      </c>
      <c r="K64" s="1">
        <f t="shared" si="4"/>
        <v>0.93020000000000003</v>
      </c>
      <c r="L64" s="1">
        <f t="shared" si="5"/>
        <v>0.73019999999999996</v>
      </c>
      <c r="M64" s="1">
        <f t="shared" si="6"/>
        <v>0.5302</v>
      </c>
      <c r="N64" s="1">
        <f t="shared" si="7"/>
        <v>0.33019999999999999</v>
      </c>
      <c r="O64" s="1">
        <f t="shared" si="8"/>
        <v>0.13019999999999998</v>
      </c>
      <c r="P64" s="1">
        <f t="shared" si="9"/>
        <v>6.9799999999999973E-2</v>
      </c>
      <c r="Q64" s="1">
        <f t="shared" si="10"/>
        <v>0.26980000000000004</v>
      </c>
      <c r="R64" s="1">
        <f t="shared" si="11"/>
        <v>0.4698</v>
      </c>
      <c r="S64" s="1">
        <f t="shared" si="12"/>
        <v>6.9799999999999973E-2</v>
      </c>
      <c r="T64" s="1">
        <f t="shared" si="13"/>
        <v>9</v>
      </c>
      <c r="U64" s="1" t="str">
        <f t="shared" si="14"/>
        <v xml:space="preserve">Convicción </v>
      </c>
    </row>
    <row r="65" spans="1:21" x14ac:dyDescent="0.2">
      <c r="A65" s="3" t="s">
        <v>76</v>
      </c>
      <c r="B65" s="1">
        <v>-0.26169999999999999</v>
      </c>
      <c r="C65" s="1" t="s">
        <v>25</v>
      </c>
      <c r="D65" s="1">
        <v>0.4</v>
      </c>
      <c r="E65" s="4">
        <v>2022</v>
      </c>
      <c r="H65" s="1">
        <f t="shared" si="1"/>
        <v>1.5266999999999999</v>
      </c>
      <c r="I65" s="1">
        <f t="shared" si="2"/>
        <v>1.3267</v>
      </c>
      <c r="J65" s="1">
        <f t="shared" si="3"/>
        <v>1.1267</v>
      </c>
      <c r="K65" s="1">
        <f t="shared" si="4"/>
        <v>0.92669999999999997</v>
      </c>
      <c r="L65" s="1">
        <f t="shared" si="5"/>
        <v>0.7266999999999999</v>
      </c>
      <c r="M65" s="1">
        <f t="shared" si="6"/>
        <v>0.52669999999999995</v>
      </c>
      <c r="N65" s="1">
        <f t="shared" si="7"/>
        <v>0.32669999999999993</v>
      </c>
      <c r="O65" s="1">
        <f t="shared" si="8"/>
        <v>0.12669999999999992</v>
      </c>
      <c r="P65" s="1">
        <f t="shared" si="9"/>
        <v>7.3300000000000032E-2</v>
      </c>
      <c r="Q65" s="1">
        <f t="shared" si="10"/>
        <v>0.2733000000000001</v>
      </c>
      <c r="R65" s="1">
        <f t="shared" si="11"/>
        <v>0.47330000000000005</v>
      </c>
      <c r="S65" s="1">
        <f t="shared" si="12"/>
        <v>7.3300000000000032E-2</v>
      </c>
      <c r="T65" s="1">
        <f t="shared" si="13"/>
        <v>9</v>
      </c>
      <c r="U65" s="1" t="str">
        <f t="shared" si="14"/>
        <v xml:space="preserve">Convicción </v>
      </c>
    </row>
    <row r="66" spans="1:21" x14ac:dyDescent="0.2">
      <c r="A66" s="3" t="s">
        <v>77</v>
      </c>
      <c r="B66" s="1">
        <v>0.38179999999999997</v>
      </c>
      <c r="C66" s="1" t="s">
        <v>11</v>
      </c>
      <c r="D66" s="1">
        <v>0.7</v>
      </c>
      <c r="E66" s="4">
        <v>2022</v>
      </c>
      <c r="H66" s="1">
        <f t="shared" si="1"/>
        <v>0.73829999999999996</v>
      </c>
      <c r="I66" s="1">
        <f t="shared" si="2"/>
        <v>0.5383</v>
      </c>
      <c r="J66" s="1">
        <f t="shared" si="3"/>
        <v>0.33829999999999999</v>
      </c>
      <c r="K66" s="1">
        <f t="shared" si="4"/>
        <v>0.13830000000000003</v>
      </c>
      <c r="L66" s="1">
        <f t="shared" si="5"/>
        <v>6.1699999999999977E-2</v>
      </c>
      <c r="M66" s="1">
        <f t="shared" si="6"/>
        <v>0.26169999999999999</v>
      </c>
      <c r="N66" s="1">
        <f t="shared" si="7"/>
        <v>0.4617</v>
      </c>
      <c r="O66" s="1">
        <f t="shared" si="8"/>
        <v>0.66169999999999995</v>
      </c>
      <c r="P66" s="1">
        <f t="shared" si="9"/>
        <v>0.86169999999999991</v>
      </c>
      <c r="Q66" s="1">
        <f t="shared" si="10"/>
        <v>1.0617000000000001</v>
      </c>
      <c r="R66" s="1">
        <f t="shared" si="11"/>
        <v>1.2617</v>
      </c>
      <c r="S66" s="1">
        <f t="shared" si="12"/>
        <v>6.1699999999999977E-2</v>
      </c>
      <c r="T66" s="1">
        <f t="shared" si="13"/>
        <v>5</v>
      </c>
      <c r="U66" s="1" t="str">
        <f t="shared" si="14"/>
        <v>Indiferente</v>
      </c>
    </row>
    <row r="67" spans="1:21" x14ac:dyDescent="0.2">
      <c r="A67" s="3" t="s">
        <v>78</v>
      </c>
      <c r="B67" s="1">
        <v>0.81499999999999995</v>
      </c>
      <c r="C67" s="1" t="s">
        <v>18</v>
      </c>
      <c r="D67" s="1">
        <v>0.9</v>
      </c>
      <c r="E67" s="4">
        <v>2022</v>
      </c>
      <c r="H67" s="1">
        <f t="shared" si="1"/>
        <v>1.3817999999999999</v>
      </c>
      <c r="I67" s="1">
        <f t="shared" si="2"/>
        <v>1.1818</v>
      </c>
      <c r="J67" s="1">
        <f t="shared" si="3"/>
        <v>0.98180000000000001</v>
      </c>
      <c r="K67" s="1">
        <f t="shared" si="4"/>
        <v>0.78180000000000005</v>
      </c>
      <c r="L67" s="1">
        <f t="shared" si="5"/>
        <v>0.58179999999999998</v>
      </c>
      <c r="M67" s="1">
        <f t="shared" si="6"/>
        <v>0.38179999999999997</v>
      </c>
      <c r="N67" s="1">
        <f t="shared" si="7"/>
        <v>0.18179999999999996</v>
      </c>
      <c r="O67" s="1">
        <f t="shared" si="8"/>
        <v>1.8200000000000049E-2</v>
      </c>
      <c r="P67" s="1">
        <f t="shared" si="9"/>
        <v>0.21820000000000001</v>
      </c>
      <c r="Q67" s="1">
        <f t="shared" si="10"/>
        <v>0.41820000000000007</v>
      </c>
      <c r="R67" s="1">
        <f t="shared" si="11"/>
        <v>0.61820000000000008</v>
      </c>
      <c r="S67" s="1">
        <f t="shared" si="12"/>
        <v>1.8200000000000049E-2</v>
      </c>
      <c r="T67" s="1">
        <f t="shared" si="13"/>
        <v>8</v>
      </c>
      <c r="U67" s="1" t="str">
        <f t="shared" si="14"/>
        <v>Optimismo</v>
      </c>
    </row>
    <row r="68" spans="1:21" x14ac:dyDescent="0.2">
      <c r="A68" s="3" t="s">
        <v>79</v>
      </c>
      <c r="B68" s="1">
        <v>-0.128</v>
      </c>
      <c r="C68" s="1" t="s">
        <v>25</v>
      </c>
      <c r="D68" s="1">
        <v>0.4</v>
      </c>
      <c r="E68" s="4">
        <v>2022</v>
      </c>
      <c r="H68" s="1">
        <f t="shared" si="1"/>
        <v>1.8149999999999999</v>
      </c>
      <c r="I68" s="1">
        <f t="shared" si="2"/>
        <v>1.615</v>
      </c>
      <c r="J68" s="1">
        <f t="shared" si="3"/>
        <v>1.415</v>
      </c>
      <c r="K68" s="1">
        <f t="shared" si="4"/>
        <v>1.2149999999999999</v>
      </c>
      <c r="L68" s="1">
        <f t="shared" si="5"/>
        <v>1.0149999999999999</v>
      </c>
      <c r="M68" s="1">
        <f t="shared" si="6"/>
        <v>0.81499999999999995</v>
      </c>
      <c r="N68" s="1">
        <f t="shared" si="7"/>
        <v>0.61499999999999999</v>
      </c>
      <c r="O68" s="1">
        <f t="shared" si="8"/>
        <v>0.41499999999999992</v>
      </c>
      <c r="P68" s="1">
        <f t="shared" si="9"/>
        <v>0.21499999999999997</v>
      </c>
      <c r="Q68" s="1">
        <f t="shared" si="10"/>
        <v>1.4999999999999902E-2</v>
      </c>
      <c r="R68" s="1">
        <f t="shared" si="11"/>
        <v>0.18500000000000005</v>
      </c>
      <c r="S68" s="1">
        <f t="shared" si="12"/>
        <v>1.4999999999999902E-2</v>
      </c>
      <c r="T68" s="1">
        <f t="shared" si="13"/>
        <v>10</v>
      </c>
      <c r="U68" s="1" t="str">
        <f t="shared" si="14"/>
        <v xml:space="preserve">Consolidado </v>
      </c>
    </row>
    <row r="69" spans="1:21" x14ac:dyDescent="0.2">
      <c r="A69" s="3" t="s">
        <v>80</v>
      </c>
      <c r="B69" s="1">
        <v>0.55630000000000002</v>
      </c>
      <c r="C69" s="1" t="s">
        <v>5</v>
      </c>
      <c r="D69" s="1">
        <v>0.8</v>
      </c>
      <c r="E69" s="4">
        <v>2022</v>
      </c>
      <c r="H69" s="1">
        <f t="shared" ref="H69:H132" si="15">+ABS(H$2-$B68)</f>
        <v>0.872</v>
      </c>
      <c r="I69" s="1">
        <f t="shared" ref="I69:I132" si="16">+ABS(I$2-$B68)</f>
        <v>0.67200000000000004</v>
      </c>
      <c r="J69" s="1">
        <f t="shared" ref="J69:J132" si="17">+ABS(J$2-$B68)</f>
        <v>0.47199999999999998</v>
      </c>
      <c r="K69" s="1">
        <f t="shared" ref="K69:K132" si="18">+ABS(K$2-$B68)</f>
        <v>0.27200000000000002</v>
      </c>
      <c r="L69" s="1">
        <f t="shared" ref="L69:L132" si="19">+ABS(L$2-$B68)</f>
        <v>7.2000000000000008E-2</v>
      </c>
      <c r="M69" s="1">
        <f t="shared" ref="M69:M132" si="20">+ABS(M$2-$B68)</f>
        <v>0.128</v>
      </c>
      <c r="N69" s="1">
        <f t="shared" ref="N69:N132" si="21">+ABS(N$2-$B68)</f>
        <v>0.32800000000000001</v>
      </c>
      <c r="O69" s="1">
        <f t="shared" ref="O69:O132" si="22">+ABS(O$2-$B68)</f>
        <v>0.52800000000000002</v>
      </c>
      <c r="P69" s="1">
        <f t="shared" ref="P69:P132" si="23">+ABS(P$2-$B68)</f>
        <v>0.72799999999999998</v>
      </c>
      <c r="Q69" s="1">
        <f t="shared" ref="Q69:Q132" si="24">+ABS(Q$2-$B68)</f>
        <v>0.92800000000000005</v>
      </c>
      <c r="R69" s="1">
        <f t="shared" ref="R69:R132" si="25">+ABS(R$2-$B68)</f>
        <v>1.1280000000000001</v>
      </c>
      <c r="S69" s="1">
        <f t="shared" ref="S69:S132" si="26">+MIN(H69:R69)</f>
        <v>7.2000000000000008E-2</v>
      </c>
      <c r="T69" s="1">
        <f t="shared" ref="T69:T132" si="27">+MATCH(S69,H69:R69,0)</f>
        <v>5</v>
      </c>
      <c r="U69" s="1" t="str">
        <f t="shared" ref="U69:U132" si="28">+VLOOKUP(T69,$V$6:$W$16,2)</f>
        <v>Indiferente</v>
      </c>
    </row>
    <row r="70" spans="1:21" x14ac:dyDescent="0.2">
      <c r="A70" s="3" t="s">
        <v>81</v>
      </c>
      <c r="B70" s="1">
        <v>4.5999999999999999E-2</v>
      </c>
      <c r="C70" s="1" t="s">
        <v>9</v>
      </c>
      <c r="D70" s="1">
        <v>0.5</v>
      </c>
      <c r="E70" s="4">
        <v>2022</v>
      </c>
      <c r="H70" s="1">
        <f t="shared" si="15"/>
        <v>1.5563</v>
      </c>
      <c r="I70" s="1">
        <f t="shared" si="16"/>
        <v>1.3563000000000001</v>
      </c>
      <c r="J70" s="1">
        <f t="shared" si="17"/>
        <v>1.1562999999999999</v>
      </c>
      <c r="K70" s="1">
        <f t="shared" si="18"/>
        <v>0.95630000000000004</v>
      </c>
      <c r="L70" s="1">
        <f t="shared" si="19"/>
        <v>0.75629999999999997</v>
      </c>
      <c r="M70" s="1">
        <f t="shared" si="20"/>
        <v>0.55630000000000002</v>
      </c>
      <c r="N70" s="1">
        <f t="shared" si="21"/>
        <v>0.35630000000000001</v>
      </c>
      <c r="O70" s="1">
        <f t="shared" si="22"/>
        <v>0.15629999999999999</v>
      </c>
      <c r="P70" s="1">
        <f t="shared" si="23"/>
        <v>4.3699999999999961E-2</v>
      </c>
      <c r="Q70" s="1">
        <f t="shared" si="24"/>
        <v>0.24370000000000003</v>
      </c>
      <c r="R70" s="1">
        <f t="shared" si="25"/>
        <v>0.44369999999999998</v>
      </c>
      <c r="S70" s="1">
        <f t="shared" si="26"/>
        <v>4.3699999999999961E-2</v>
      </c>
      <c r="T70" s="1">
        <f t="shared" si="27"/>
        <v>9</v>
      </c>
      <c r="U70" s="1" t="str">
        <f t="shared" si="28"/>
        <v xml:space="preserve">Convicción </v>
      </c>
    </row>
    <row r="71" spans="1:21" x14ac:dyDescent="0.2">
      <c r="A71" s="3" t="s">
        <v>82</v>
      </c>
      <c r="B71" s="1">
        <v>0.50949999999999995</v>
      </c>
      <c r="C71" s="1" t="s">
        <v>5</v>
      </c>
      <c r="D71" s="1">
        <v>0.8</v>
      </c>
      <c r="E71" s="4">
        <v>2022</v>
      </c>
      <c r="H71" s="1">
        <f t="shared" si="15"/>
        <v>1.046</v>
      </c>
      <c r="I71" s="1">
        <f t="shared" si="16"/>
        <v>0.84600000000000009</v>
      </c>
      <c r="J71" s="1">
        <f t="shared" si="17"/>
        <v>0.64600000000000002</v>
      </c>
      <c r="K71" s="1">
        <f t="shared" si="18"/>
        <v>0.44600000000000001</v>
      </c>
      <c r="L71" s="1">
        <f t="shared" si="19"/>
        <v>0.246</v>
      </c>
      <c r="M71" s="1">
        <f t="shared" si="20"/>
        <v>4.5999999999999999E-2</v>
      </c>
      <c r="N71" s="1">
        <f t="shared" si="21"/>
        <v>0.15400000000000003</v>
      </c>
      <c r="O71" s="1">
        <f t="shared" si="22"/>
        <v>0.35400000000000004</v>
      </c>
      <c r="P71" s="1">
        <f t="shared" si="23"/>
        <v>0.55399999999999994</v>
      </c>
      <c r="Q71" s="1">
        <f t="shared" si="24"/>
        <v>0.754</v>
      </c>
      <c r="R71" s="1">
        <f t="shared" si="25"/>
        <v>0.95399999999999996</v>
      </c>
      <c r="S71" s="1">
        <f t="shared" si="26"/>
        <v>4.5999999999999999E-2</v>
      </c>
      <c r="T71" s="1">
        <f t="shared" si="27"/>
        <v>6</v>
      </c>
      <c r="U71" s="1" t="str">
        <f t="shared" si="28"/>
        <v xml:space="preserve">Neutral </v>
      </c>
    </row>
    <row r="72" spans="1:21" x14ac:dyDescent="0.2">
      <c r="A72" s="3" t="s">
        <v>83</v>
      </c>
      <c r="B72" s="1">
        <v>-0.15310000000000001</v>
      </c>
      <c r="C72" s="1" t="s">
        <v>25</v>
      </c>
      <c r="D72" s="1">
        <v>0.4</v>
      </c>
      <c r="E72" s="4">
        <v>2022</v>
      </c>
      <c r="H72" s="1">
        <f t="shared" si="15"/>
        <v>1.5095000000000001</v>
      </c>
      <c r="I72" s="1">
        <f t="shared" si="16"/>
        <v>1.3094999999999999</v>
      </c>
      <c r="J72" s="1">
        <f t="shared" si="17"/>
        <v>1.1094999999999999</v>
      </c>
      <c r="K72" s="1">
        <f t="shared" si="18"/>
        <v>0.90949999999999998</v>
      </c>
      <c r="L72" s="1">
        <f t="shared" si="19"/>
        <v>0.70950000000000002</v>
      </c>
      <c r="M72" s="1">
        <f t="shared" si="20"/>
        <v>0.50949999999999995</v>
      </c>
      <c r="N72" s="1">
        <f t="shared" si="21"/>
        <v>0.30949999999999994</v>
      </c>
      <c r="O72" s="1">
        <f t="shared" si="22"/>
        <v>0.10949999999999993</v>
      </c>
      <c r="P72" s="1">
        <f t="shared" si="23"/>
        <v>9.0500000000000025E-2</v>
      </c>
      <c r="Q72" s="1">
        <f t="shared" si="24"/>
        <v>0.29050000000000009</v>
      </c>
      <c r="R72" s="1">
        <f t="shared" si="25"/>
        <v>0.49050000000000005</v>
      </c>
      <c r="S72" s="1">
        <f t="shared" si="26"/>
        <v>9.0500000000000025E-2</v>
      </c>
      <c r="T72" s="1">
        <f t="shared" si="27"/>
        <v>9</v>
      </c>
      <c r="U72" s="1" t="str">
        <f t="shared" si="28"/>
        <v xml:space="preserve">Convicción </v>
      </c>
    </row>
    <row r="73" spans="1:21" x14ac:dyDescent="0.2">
      <c r="A73" s="3" t="s">
        <v>84</v>
      </c>
      <c r="B73" s="1">
        <v>0</v>
      </c>
      <c r="C73" s="1" t="s">
        <v>9</v>
      </c>
      <c r="D73" s="1">
        <v>0.5</v>
      </c>
      <c r="E73" s="4">
        <v>2022</v>
      </c>
      <c r="H73" s="1">
        <f t="shared" si="15"/>
        <v>0.84689999999999999</v>
      </c>
      <c r="I73" s="1">
        <f t="shared" si="16"/>
        <v>0.64690000000000003</v>
      </c>
      <c r="J73" s="1">
        <f t="shared" si="17"/>
        <v>0.44689999999999996</v>
      </c>
      <c r="K73" s="1">
        <f t="shared" si="18"/>
        <v>0.24690000000000001</v>
      </c>
      <c r="L73" s="1">
        <f t="shared" si="19"/>
        <v>4.6899999999999997E-2</v>
      </c>
      <c r="M73" s="1">
        <f t="shared" si="20"/>
        <v>0.15310000000000001</v>
      </c>
      <c r="N73" s="1">
        <f t="shared" si="21"/>
        <v>0.35310000000000002</v>
      </c>
      <c r="O73" s="1">
        <f t="shared" si="22"/>
        <v>0.55310000000000004</v>
      </c>
      <c r="P73" s="1">
        <f t="shared" si="23"/>
        <v>0.75309999999999999</v>
      </c>
      <c r="Q73" s="1">
        <f t="shared" si="24"/>
        <v>0.95310000000000006</v>
      </c>
      <c r="R73" s="1">
        <f t="shared" si="25"/>
        <v>1.1531</v>
      </c>
      <c r="S73" s="1">
        <f t="shared" si="26"/>
        <v>4.6899999999999997E-2</v>
      </c>
      <c r="T73" s="1">
        <f t="shared" si="27"/>
        <v>5</v>
      </c>
      <c r="U73" s="1" t="str">
        <f t="shared" si="28"/>
        <v>Indiferente</v>
      </c>
    </row>
    <row r="74" spans="1:21" x14ac:dyDescent="0.2">
      <c r="A74" s="3" t="s">
        <v>85</v>
      </c>
      <c r="B74" s="1">
        <v>0.57089999999999996</v>
      </c>
      <c r="C74" s="1" t="s">
        <v>5</v>
      </c>
      <c r="D74" s="1">
        <v>0.8</v>
      </c>
      <c r="E74" s="4">
        <v>2022</v>
      </c>
      <c r="H74" s="1">
        <f t="shared" si="15"/>
        <v>1</v>
      </c>
      <c r="I74" s="1">
        <f t="shared" si="16"/>
        <v>0.8</v>
      </c>
      <c r="J74" s="1">
        <f t="shared" si="17"/>
        <v>0.6</v>
      </c>
      <c r="K74" s="1">
        <f t="shared" si="18"/>
        <v>0.4</v>
      </c>
      <c r="L74" s="1">
        <f t="shared" si="19"/>
        <v>0.2</v>
      </c>
      <c r="M74" s="1">
        <f t="shared" si="20"/>
        <v>0</v>
      </c>
      <c r="N74" s="1">
        <f t="shared" si="21"/>
        <v>0.2</v>
      </c>
      <c r="O74" s="1">
        <f t="shared" si="22"/>
        <v>0.4</v>
      </c>
      <c r="P74" s="1">
        <f t="shared" si="23"/>
        <v>0.6</v>
      </c>
      <c r="Q74" s="1">
        <f t="shared" si="24"/>
        <v>0.8</v>
      </c>
      <c r="R74" s="1">
        <f t="shared" si="25"/>
        <v>1</v>
      </c>
      <c r="S74" s="1">
        <f t="shared" si="26"/>
        <v>0</v>
      </c>
      <c r="T74" s="1">
        <f t="shared" si="27"/>
        <v>6</v>
      </c>
      <c r="U74" s="1" t="str">
        <f t="shared" si="28"/>
        <v xml:space="preserve">Neutral </v>
      </c>
    </row>
    <row r="75" spans="1:21" x14ac:dyDescent="0.2">
      <c r="A75" s="3" t="s">
        <v>86</v>
      </c>
      <c r="B75" s="1">
        <v>0</v>
      </c>
      <c r="C75" s="1" t="s">
        <v>9</v>
      </c>
      <c r="D75" s="1">
        <v>0.5</v>
      </c>
      <c r="E75" s="4">
        <v>2022</v>
      </c>
      <c r="H75" s="1">
        <f t="shared" si="15"/>
        <v>1.5709</v>
      </c>
      <c r="I75" s="1">
        <f t="shared" si="16"/>
        <v>1.3709</v>
      </c>
      <c r="J75" s="1">
        <f t="shared" si="17"/>
        <v>1.1709000000000001</v>
      </c>
      <c r="K75" s="1">
        <f t="shared" si="18"/>
        <v>0.97089999999999999</v>
      </c>
      <c r="L75" s="1">
        <f t="shared" si="19"/>
        <v>0.77089999999999992</v>
      </c>
      <c r="M75" s="1">
        <f t="shared" si="20"/>
        <v>0.57089999999999996</v>
      </c>
      <c r="N75" s="1">
        <f t="shared" si="21"/>
        <v>0.37089999999999995</v>
      </c>
      <c r="O75" s="1">
        <f t="shared" si="22"/>
        <v>0.17089999999999994</v>
      </c>
      <c r="P75" s="1">
        <f t="shared" si="23"/>
        <v>2.9100000000000015E-2</v>
      </c>
      <c r="Q75" s="1">
        <f t="shared" si="24"/>
        <v>0.22910000000000008</v>
      </c>
      <c r="R75" s="1">
        <f t="shared" si="25"/>
        <v>0.42910000000000004</v>
      </c>
      <c r="S75" s="1">
        <f t="shared" si="26"/>
        <v>2.9100000000000015E-2</v>
      </c>
      <c r="T75" s="1">
        <f t="shared" si="27"/>
        <v>9</v>
      </c>
      <c r="U75" s="1" t="str">
        <f t="shared" si="28"/>
        <v xml:space="preserve">Convicción </v>
      </c>
    </row>
    <row r="76" spans="1:21" x14ac:dyDescent="0.2">
      <c r="A76" s="3" t="s">
        <v>87</v>
      </c>
      <c r="B76" s="1">
        <v>0</v>
      </c>
      <c r="C76" s="1" t="s">
        <v>9</v>
      </c>
      <c r="D76" s="1">
        <v>0.5</v>
      </c>
      <c r="E76" s="4">
        <v>2022</v>
      </c>
      <c r="H76" s="1">
        <f t="shared" si="15"/>
        <v>1</v>
      </c>
      <c r="I76" s="1">
        <f t="shared" si="16"/>
        <v>0.8</v>
      </c>
      <c r="J76" s="1">
        <f t="shared" si="17"/>
        <v>0.6</v>
      </c>
      <c r="K76" s="1">
        <f t="shared" si="18"/>
        <v>0.4</v>
      </c>
      <c r="L76" s="1">
        <f t="shared" si="19"/>
        <v>0.2</v>
      </c>
      <c r="M76" s="1">
        <f t="shared" si="20"/>
        <v>0</v>
      </c>
      <c r="N76" s="1">
        <f t="shared" si="21"/>
        <v>0.2</v>
      </c>
      <c r="O76" s="1">
        <f t="shared" si="22"/>
        <v>0.4</v>
      </c>
      <c r="P76" s="1">
        <f t="shared" si="23"/>
        <v>0.6</v>
      </c>
      <c r="Q76" s="1">
        <f t="shared" si="24"/>
        <v>0.8</v>
      </c>
      <c r="R76" s="1">
        <f t="shared" si="25"/>
        <v>1</v>
      </c>
      <c r="S76" s="1">
        <f t="shared" si="26"/>
        <v>0</v>
      </c>
      <c r="T76" s="1">
        <f t="shared" si="27"/>
        <v>6</v>
      </c>
      <c r="U76" s="1" t="str">
        <f t="shared" si="28"/>
        <v xml:space="preserve">Neutral </v>
      </c>
    </row>
    <row r="77" spans="1:21" x14ac:dyDescent="0.2">
      <c r="A77" s="3" t="s">
        <v>88</v>
      </c>
      <c r="B77" s="1">
        <v>0.55740000000000001</v>
      </c>
      <c r="C77" s="1" t="s">
        <v>5</v>
      </c>
      <c r="D77" s="1">
        <v>0.8</v>
      </c>
      <c r="E77" s="4">
        <v>2022</v>
      </c>
      <c r="H77" s="1">
        <f t="shared" si="15"/>
        <v>1</v>
      </c>
      <c r="I77" s="1">
        <f t="shared" si="16"/>
        <v>0.8</v>
      </c>
      <c r="J77" s="1">
        <f t="shared" si="17"/>
        <v>0.6</v>
      </c>
      <c r="K77" s="1">
        <f t="shared" si="18"/>
        <v>0.4</v>
      </c>
      <c r="L77" s="1">
        <f t="shared" si="19"/>
        <v>0.2</v>
      </c>
      <c r="M77" s="1">
        <f t="shared" si="20"/>
        <v>0</v>
      </c>
      <c r="N77" s="1">
        <f t="shared" si="21"/>
        <v>0.2</v>
      </c>
      <c r="O77" s="1">
        <f t="shared" si="22"/>
        <v>0.4</v>
      </c>
      <c r="P77" s="1">
        <f t="shared" si="23"/>
        <v>0.6</v>
      </c>
      <c r="Q77" s="1">
        <f t="shared" si="24"/>
        <v>0.8</v>
      </c>
      <c r="R77" s="1">
        <f t="shared" si="25"/>
        <v>1</v>
      </c>
      <c r="S77" s="1">
        <f t="shared" si="26"/>
        <v>0</v>
      </c>
      <c r="T77" s="1">
        <f t="shared" si="27"/>
        <v>6</v>
      </c>
      <c r="U77" s="1" t="str">
        <f t="shared" si="28"/>
        <v xml:space="preserve">Neutral </v>
      </c>
    </row>
    <row r="78" spans="1:21" x14ac:dyDescent="0.2">
      <c r="A78" s="3" t="s">
        <v>89</v>
      </c>
      <c r="B78" s="1">
        <v>0</v>
      </c>
      <c r="C78" s="1" t="s">
        <v>9</v>
      </c>
      <c r="D78" s="1">
        <v>0.5</v>
      </c>
      <c r="E78" s="4">
        <v>2022</v>
      </c>
      <c r="H78" s="1">
        <f t="shared" si="15"/>
        <v>1.5573999999999999</v>
      </c>
      <c r="I78" s="1">
        <f t="shared" si="16"/>
        <v>1.3574000000000002</v>
      </c>
      <c r="J78" s="1">
        <f t="shared" si="17"/>
        <v>1.1574</v>
      </c>
      <c r="K78" s="1">
        <f t="shared" si="18"/>
        <v>0.95740000000000003</v>
      </c>
      <c r="L78" s="1">
        <f t="shared" si="19"/>
        <v>0.75740000000000007</v>
      </c>
      <c r="M78" s="1">
        <f t="shared" si="20"/>
        <v>0.55740000000000001</v>
      </c>
      <c r="N78" s="1">
        <f t="shared" si="21"/>
        <v>0.3574</v>
      </c>
      <c r="O78" s="1">
        <f t="shared" si="22"/>
        <v>0.15739999999999998</v>
      </c>
      <c r="P78" s="1">
        <f t="shared" si="23"/>
        <v>4.2599999999999971E-2</v>
      </c>
      <c r="Q78" s="1">
        <f t="shared" si="24"/>
        <v>0.24260000000000004</v>
      </c>
      <c r="R78" s="1">
        <f t="shared" si="25"/>
        <v>0.44259999999999999</v>
      </c>
      <c r="S78" s="1">
        <f t="shared" si="26"/>
        <v>4.2599999999999971E-2</v>
      </c>
      <c r="T78" s="1">
        <f t="shared" si="27"/>
        <v>9</v>
      </c>
      <c r="U78" s="1" t="str">
        <f t="shared" si="28"/>
        <v xml:space="preserve">Convicción </v>
      </c>
    </row>
    <row r="79" spans="1:21" x14ac:dyDescent="0.2">
      <c r="A79" s="3" t="s">
        <v>90</v>
      </c>
      <c r="B79" s="1">
        <v>0</v>
      </c>
      <c r="C79" s="1" t="s">
        <v>9</v>
      </c>
      <c r="D79" s="1">
        <v>0.5</v>
      </c>
      <c r="E79" s="4">
        <v>2022</v>
      </c>
      <c r="H79" s="1">
        <f t="shared" si="15"/>
        <v>1</v>
      </c>
      <c r="I79" s="1">
        <f t="shared" si="16"/>
        <v>0.8</v>
      </c>
      <c r="J79" s="1">
        <f t="shared" si="17"/>
        <v>0.6</v>
      </c>
      <c r="K79" s="1">
        <f t="shared" si="18"/>
        <v>0.4</v>
      </c>
      <c r="L79" s="1">
        <f t="shared" si="19"/>
        <v>0.2</v>
      </c>
      <c r="M79" s="1">
        <f t="shared" si="20"/>
        <v>0</v>
      </c>
      <c r="N79" s="1">
        <f t="shared" si="21"/>
        <v>0.2</v>
      </c>
      <c r="O79" s="1">
        <f t="shared" si="22"/>
        <v>0.4</v>
      </c>
      <c r="P79" s="1">
        <f t="shared" si="23"/>
        <v>0.6</v>
      </c>
      <c r="Q79" s="1">
        <f t="shared" si="24"/>
        <v>0.8</v>
      </c>
      <c r="R79" s="1">
        <f t="shared" si="25"/>
        <v>1</v>
      </c>
      <c r="S79" s="1">
        <f t="shared" si="26"/>
        <v>0</v>
      </c>
      <c r="T79" s="1">
        <f t="shared" si="27"/>
        <v>6</v>
      </c>
      <c r="U79" s="1" t="str">
        <f t="shared" si="28"/>
        <v xml:space="preserve">Neutral </v>
      </c>
    </row>
    <row r="80" spans="1:21" x14ac:dyDescent="0.2">
      <c r="A80" s="3" t="s">
        <v>91</v>
      </c>
      <c r="B80" s="1">
        <v>0.81</v>
      </c>
      <c r="C80" s="1" t="s">
        <v>18</v>
      </c>
      <c r="D80" s="1">
        <v>0.9</v>
      </c>
      <c r="E80" s="4">
        <v>2022</v>
      </c>
      <c r="H80" s="1">
        <f t="shared" si="15"/>
        <v>1</v>
      </c>
      <c r="I80" s="1">
        <f t="shared" si="16"/>
        <v>0.8</v>
      </c>
      <c r="J80" s="1">
        <f t="shared" si="17"/>
        <v>0.6</v>
      </c>
      <c r="K80" s="1">
        <f t="shared" si="18"/>
        <v>0.4</v>
      </c>
      <c r="L80" s="1">
        <f t="shared" si="19"/>
        <v>0.2</v>
      </c>
      <c r="M80" s="1">
        <f t="shared" si="20"/>
        <v>0</v>
      </c>
      <c r="N80" s="1">
        <f t="shared" si="21"/>
        <v>0.2</v>
      </c>
      <c r="O80" s="1">
        <f t="shared" si="22"/>
        <v>0.4</v>
      </c>
      <c r="P80" s="1">
        <f t="shared" si="23"/>
        <v>0.6</v>
      </c>
      <c r="Q80" s="1">
        <f t="shared" si="24"/>
        <v>0.8</v>
      </c>
      <c r="R80" s="1">
        <f t="shared" si="25"/>
        <v>1</v>
      </c>
      <c r="S80" s="1">
        <f t="shared" si="26"/>
        <v>0</v>
      </c>
      <c r="T80" s="1">
        <f t="shared" si="27"/>
        <v>6</v>
      </c>
      <c r="U80" s="1" t="str">
        <f t="shared" si="28"/>
        <v xml:space="preserve">Neutral </v>
      </c>
    </row>
    <row r="81" spans="1:21" x14ac:dyDescent="0.2">
      <c r="A81" s="3" t="s">
        <v>92</v>
      </c>
      <c r="B81" s="1">
        <v>0.69079999999999997</v>
      </c>
      <c r="C81" s="1" t="s">
        <v>5</v>
      </c>
      <c r="D81" s="1">
        <v>0.8</v>
      </c>
      <c r="E81" s="4">
        <v>2022</v>
      </c>
      <c r="H81" s="1">
        <f t="shared" si="15"/>
        <v>1.81</v>
      </c>
      <c r="I81" s="1">
        <f t="shared" si="16"/>
        <v>1.61</v>
      </c>
      <c r="J81" s="1">
        <f t="shared" si="17"/>
        <v>1.4100000000000001</v>
      </c>
      <c r="K81" s="1">
        <f t="shared" si="18"/>
        <v>1.21</v>
      </c>
      <c r="L81" s="1">
        <f t="shared" si="19"/>
        <v>1.01</v>
      </c>
      <c r="M81" s="1">
        <f t="shared" si="20"/>
        <v>0.81</v>
      </c>
      <c r="N81" s="1">
        <f t="shared" si="21"/>
        <v>0.6100000000000001</v>
      </c>
      <c r="O81" s="1">
        <f t="shared" si="22"/>
        <v>0.41000000000000003</v>
      </c>
      <c r="P81" s="1">
        <f t="shared" si="23"/>
        <v>0.21000000000000008</v>
      </c>
      <c r="Q81" s="1">
        <f t="shared" si="24"/>
        <v>1.0000000000000009E-2</v>
      </c>
      <c r="R81" s="1">
        <f t="shared" si="25"/>
        <v>0.18999999999999995</v>
      </c>
      <c r="S81" s="1">
        <f t="shared" si="26"/>
        <v>1.0000000000000009E-2</v>
      </c>
      <c r="T81" s="1">
        <f t="shared" si="27"/>
        <v>10</v>
      </c>
      <c r="U81" s="1" t="str">
        <f t="shared" si="28"/>
        <v xml:space="preserve">Consolidado </v>
      </c>
    </row>
    <row r="82" spans="1:21" x14ac:dyDescent="0.2">
      <c r="A82" s="3" t="s">
        <v>93</v>
      </c>
      <c r="B82" s="1">
        <v>0</v>
      </c>
      <c r="C82" s="1" t="s">
        <v>9</v>
      </c>
      <c r="D82" s="1">
        <v>0.5</v>
      </c>
      <c r="E82" s="4">
        <v>2022</v>
      </c>
      <c r="H82" s="1">
        <f t="shared" si="15"/>
        <v>1.6907999999999999</v>
      </c>
      <c r="I82" s="1">
        <f t="shared" si="16"/>
        <v>1.4908000000000001</v>
      </c>
      <c r="J82" s="1">
        <f t="shared" si="17"/>
        <v>1.2907999999999999</v>
      </c>
      <c r="K82" s="1">
        <f t="shared" si="18"/>
        <v>1.0908</v>
      </c>
      <c r="L82" s="1">
        <f t="shared" si="19"/>
        <v>0.89080000000000004</v>
      </c>
      <c r="M82" s="1">
        <f t="shared" si="20"/>
        <v>0.69079999999999997</v>
      </c>
      <c r="N82" s="1">
        <f t="shared" si="21"/>
        <v>0.49079999999999996</v>
      </c>
      <c r="O82" s="1">
        <f t="shared" si="22"/>
        <v>0.29079999999999995</v>
      </c>
      <c r="P82" s="1">
        <f t="shared" si="23"/>
        <v>9.0799999999999992E-2</v>
      </c>
      <c r="Q82" s="1">
        <f t="shared" si="24"/>
        <v>0.10920000000000007</v>
      </c>
      <c r="R82" s="1">
        <f t="shared" si="25"/>
        <v>0.30920000000000003</v>
      </c>
      <c r="S82" s="1">
        <f t="shared" si="26"/>
        <v>9.0799999999999992E-2</v>
      </c>
      <c r="T82" s="1">
        <f t="shared" si="27"/>
        <v>9</v>
      </c>
      <c r="U82" s="1" t="str">
        <f t="shared" si="28"/>
        <v xml:space="preserve">Convicción </v>
      </c>
    </row>
    <row r="83" spans="1:21" x14ac:dyDescent="0.2">
      <c r="A83" s="3" t="s">
        <v>94</v>
      </c>
      <c r="B83" s="1">
        <v>0</v>
      </c>
      <c r="C83" s="1" t="s">
        <v>9</v>
      </c>
      <c r="D83" s="1">
        <v>0.5</v>
      </c>
      <c r="E83" s="4">
        <v>2022</v>
      </c>
      <c r="H83" s="1">
        <f t="shared" si="15"/>
        <v>1</v>
      </c>
      <c r="I83" s="1">
        <f t="shared" si="16"/>
        <v>0.8</v>
      </c>
      <c r="J83" s="1">
        <f t="shared" si="17"/>
        <v>0.6</v>
      </c>
      <c r="K83" s="1">
        <f t="shared" si="18"/>
        <v>0.4</v>
      </c>
      <c r="L83" s="1">
        <f t="shared" si="19"/>
        <v>0.2</v>
      </c>
      <c r="M83" s="1">
        <f t="shared" si="20"/>
        <v>0</v>
      </c>
      <c r="N83" s="1">
        <f t="shared" si="21"/>
        <v>0.2</v>
      </c>
      <c r="O83" s="1">
        <f t="shared" si="22"/>
        <v>0.4</v>
      </c>
      <c r="P83" s="1">
        <f t="shared" si="23"/>
        <v>0.6</v>
      </c>
      <c r="Q83" s="1">
        <f t="shared" si="24"/>
        <v>0.8</v>
      </c>
      <c r="R83" s="1">
        <f t="shared" si="25"/>
        <v>1</v>
      </c>
      <c r="S83" s="1">
        <f t="shared" si="26"/>
        <v>0</v>
      </c>
      <c r="T83" s="1">
        <f t="shared" si="27"/>
        <v>6</v>
      </c>
      <c r="U83" s="1" t="str">
        <f t="shared" si="28"/>
        <v xml:space="preserve">Neutral </v>
      </c>
    </row>
    <row r="84" spans="1:21" x14ac:dyDescent="0.2">
      <c r="A84" s="3" t="s">
        <v>95</v>
      </c>
      <c r="B84" s="1">
        <v>0</v>
      </c>
      <c r="C84" s="1" t="s">
        <v>9</v>
      </c>
      <c r="D84" s="1">
        <v>0.5</v>
      </c>
      <c r="E84" s="4">
        <v>2022</v>
      </c>
      <c r="H84" s="1">
        <f t="shared" si="15"/>
        <v>1</v>
      </c>
      <c r="I84" s="1">
        <f t="shared" si="16"/>
        <v>0.8</v>
      </c>
      <c r="J84" s="1">
        <f t="shared" si="17"/>
        <v>0.6</v>
      </c>
      <c r="K84" s="1">
        <f t="shared" si="18"/>
        <v>0.4</v>
      </c>
      <c r="L84" s="1">
        <f t="shared" si="19"/>
        <v>0.2</v>
      </c>
      <c r="M84" s="1">
        <f t="shared" si="20"/>
        <v>0</v>
      </c>
      <c r="N84" s="1">
        <f t="shared" si="21"/>
        <v>0.2</v>
      </c>
      <c r="O84" s="1">
        <f t="shared" si="22"/>
        <v>0.4</v>
      </c>
      <c r="P84" s="1">
        <f t="shared" si="23"/>
        <v>0.6</v>
      </c>
      <c r="Q84" s="1">
        <f t="shared" si="24"/>
        <v>0.8</v>
      </c>
      <c r="R84" s="1">
        <f t="shared" si="25"/>
        <v>1</v>
      </c>
      <c r="S84" s="1">
        <f t="shared" si="26"/>
        <v>0</v>
      </c>
      <c r="T84" s="1">
        <f t="shared" si="27"/>
        <v>6</v>
      </c>
      <c r="U84" s="1" t="str">
        <f t="shared" si="28"/>
        <v xml:space="preserve">Neutral </v>
      </c>
    </row>
    <row r="85" spans="1:21" x14ac:dyDescent="0.2">
      <c r="A85" s="3" t="s">
        <v>96</v>
      </c>
      <c r="B85" s="1">
        <v>0.58489999999999998</v>
      </c>
      <c r="C85" s="1" t="s">
        <v>5</v>
      </c>
      <c r="D85" s="1">
        <v>0.8</v>
      </c>
      <c r="E85" s="4">
        <v>2022</v>
      </c>
      <c r="H85" s="1">
        <f t="shared" si="15"/>
        <v>1</v>
      </c>
      <c r="I85" s="1">
        <f t="shared" si="16"/>
        <v>0.8</v>
      </c>
      <c r="J85" s="1">
        <f t="shared" si="17"/>
        <v>0.6</v>
      </c>
      <c r="K85" s="1">
        <f t="shared" si="18"/>
        <v>0.4</v>
      </c>
      <c r="L85" s="1">
        <f t="shared" si="19"/>
        <v>0.2</v>
      </c>
      <c r="M85" s="1">
        <f t="shared" si="20"/>
        <v>0</v>
      </c>
      <c r="N85" s="1">
        <f t="shared" si="21"/>
        <v>0.2</v>
      </c>
      <c r="O85" s="1">
        <f t="shared" si="22"/>
        <v>0.4</v>
      </c>
      <c r="P85" s="1">
        <f t="shared" si="23"/>
        <v>0.6</v>
      </c>
      <c r="Q85" s="1">
        <f t="shared" si="24"/>
        <v>0.8</v>
      </c>
      <c r="R85" s="1">
        <f t="shared" si="25"/>
        <v>1</v>
      </c>
      <c r="S85" s="1">
        <f t="shared" si="26"/>
        <v>0</v>
      </c>
      <c r="T85" s="1">
        <f t="shared" si="27"/>
        <v>6</v>
      </c>
      <c r="U85" s="1" t="str">
        <f t="shared" si="28"/>
        <v xml:space="preserve">Neutral </v>
      </c>
    </row>
    <row r="86" spans="1:21" x14ac:dyDescent="0.2">
      <c r="A86" s="3" t="s">
        <v>97</v>
      </c>
      <c r="B86" s="1">
        <v>0</v>
      </c>
      <c r="C86" s="1" t="s">
        <v>9</v>
      </c>
      <c r="D86" s="1">
        <v>0.5</v>
      </c>
      <c r="E86" s="4">
        <v>2022</v>
      </c>
      <c r="H86" s="1">
        <f t="shared" si="15"/>
        <v>1.5849</v>
      </c>
      <c r="I86" s="1">
        <f t="shared" si="16"/>
        <v>1.3849</v>
      </c>
      <c r="J86" s="1">
        <f t="shared" si="17"/>
        <v>1.1848999999999998</v>
      </c>
      <c r="K86" s="1">
        <f t="shared" si="18"/>
        <v>0.9849</v>
      </c>
      <c r="L86" s="1">
        <f t="shared" si="19"/>
        <v>0.78489999999999993</v>
      </c>
      <c r="M86" s="1">
        <f t="shared" si="20"/>
        <v>0.58489999999999998</v>
      </c>
      <c r="N86" s="1">
        <f t="shared" si="21"/>
        <v>0.38489999999999996</v>
      </c>
      <c r="O86" s="1">
        <f t="shared" si="22"/>
        <v>0.18489999999999995</v>
      </c>
      <c r="P86" s="1">
        <f t="shared" si="23"/>
        <v>1.5100000000000002E-2</v>
      </c>
      <c r="Q86" s="1">
        <f t="shared" si="24"/>
        <v>0.21510000000000007</v>
      </c>
      <c r="R86" s="1">
        <f t="shared" si="25"/>
        <v>0.41510000000000002</v>
      </c>
      <c r="S86" s="1">
        <f t="shared" si="26"/>
        <v>1.5100000000000002E-2</v>
      </c>
      <c r="T86" s="1">
        <f t="shared" si="27"/>
        <v>9</v>
      </c>
      <c r="U86" s="1" t="str">
        <f t="shared" si="28"/>
        <v xml:space="preserve">Convicción </v>
      </c>
    </row>
    <row r="87" spans="1:21" x14ac:dyDescent="0.2">
      <c r="A87" s="3" t="s">
        <v>98</v>
      </c>
      <c r="B87" s="1">
        <v>-0.68010000000000004</v>
      </c>
      <c r="C87" s="1" t="s">
        <v>46</v>
      </c>
      <c r="D87" s="1">
        <v>0.2</v>
      </c>
      <c r="E87" s="4">
        <v>2022</v>
      </c>
      <c r="H87" s="1">
        <f t="shared" si="15"/>
        <v>1</v>
      </c>
      <c r="I87" s="1">
        <f t="shared" si="16"/>
        <v>0.8</v>
      </c>
      <c r="J87" s="1">
        <f t="shared" si="17"/>
        <v>0.6</v>
      </c>
      <c r="K87" s="1">
        <f t="shared" si="18"/>
        <v>0.4</v>
      </c>
      <c r="L87" s="1">
        <f t="shared" si="19"/>
        <v>0.2</v>
      </c>
      <c r="M87" s="1">
        <f t="shared" si="20"/>
        <v>0</v>
      </c>
      <c r="N87" s="1">
        <f t="shared" si="21"/>
        <v>0.2</v>
      </c>
      <c r="O87" s="1">
        <f t="shared" si="22"/>
        <v>0.4</v>
      </c>
      <c r="P87" s="1">
        <f t="shared" si="23"/>
        <v>0.6</v>
      </c>
      <c r="Q87" s="1">
        <f t="shared" si="24"/>
        <v>0.8</v>
      </c>
      <c r="R87" s="1">
        <f t="shared" si="25"/>
        <v>1</v>
      </c>
      <c r="S87" s="1">
        <f t="shared" si="26"/>
        <v>0</v>
      </c>
      <c r="T87" s="1">
        <f t="shared" si="27"/>
        <v>6</v>
      </c>
      <c r="U87" s="1" t="str">
        <f t="shared" si="28"/>
        <v xml:space="preserve">Neutral </v>
      </c>
    </row>
    <row r="88" spans="1:21" x14ac:dyDescent="0.2">
      <c r="A88" s="3" t="s">
        <v>99</v>
      </c>
      <c r="B88" s="1">
        <v>0</v>
      </c>
      <c r="C88" s="1" t="s">
        <v>9</v>
      </c>
      <c r="D88" s="1">
        <v>0.5</v>
      </c>
      <c r="E88" s="4">
        <v>2022</v>
      </c>
      <c r="H88" s="1">
        <f t="shared" si="15"/>
        <v>0.31989999999999996</v>
      </c>
      <c r="I88" s="1">
        <f t="shared" si="16"/>
        <v>0.11990000000000001</v>
      </c>
      <c r="J88" s="1">
        <f t="shared" si="17"/>
        <v>8.010000000000006E-2</v>
      </c>
      <c r="K88" s="1">
        <f t="shared" si="18"/>
        <v>0.28010000000000002</v>
      </c>
      <c r="L88" s="1">
        <f t="shared" si="19"/>
        <v>0.48010000000000003</v>
      </c>
      <c r="M88" s="1">
        <f t="shared" si="20"/>
        <v>0.68010000000000004</v>
      </c>
      <c r="N88" s="1">
        <f t="shared" si="21"/>
        <v>0.8801000000000001</v>
      </c>
      <c r="O88" s="1">
        <f t="shared" si="22"/>
        <v>1.0801000000000001</v>
      </c>
      <c r="P88" s="1">
        <f t="shared" si="23"/>
        <v>1.2801</v>
      </c>
      <c r="Q88" s="1">
        <f t="shared" si="24"/>
        <v>1.4801000000000002</v>
      </c>
      <c r="R88" s="1">
        <f t="shared" si="25"/>
        <v>1.6800999999999999</v>
      </c>
      <c r="S88" s="1">
        <f t="shared" si="26"/>
        <v>8.010000000000006E-2</v>
      </c>
      <c r="T88" s="1">
        <f t="shared" si="27"/>
        <v>3</v>
      </c>
      <c r="U88" s="1" t="str">
        <f t="shared" si="28"/>
        <v>Inestabilidad</v>
      </c>
    </row>
    <row r="89" spans="1:21" x14ac:dyDescent="0.2">
      <c r="A89" s="3" t="s">
        <v>100</v>
      </c>
      <c r="B89" s="1">
        <v>0.79059999999999997</v>
      </c>
      <c r="C89" s="1" t="s">
        <v>18</v>
      </c>
      <c r="D89" s="1">
        <v>0.9</v>
      </c>
      <c r="E89" s="4">
        <v>2022</v>
      </c>
      <c r="H89" s="1">
        <f t="shared" si="15"/>
        <v>1</v>
      </c>
      <c r="I89" s="1">
        <f t="shared" si="16"/>
        <v>0.8</v>
      </c>
      <c r="J89" s="1">
        <f t="shared" si="17"/>
        <v>0.6</v>
      </c>
      <c r="K89" s="1">
        <f t="shared" si="18"/>
        <v>0.4</v>
      </c>
      <c r="L89" s="1">
        <f t="shared" si="19"/>
        <v>0.2</v>
      </c>
      <c r="M89" s="1">
        <f t="shared" si="20"/>
        <v>0</v>
      </c>
      <c r="N89" s="1">
        <f t="shared" si="21"/>
        <v>0.2</v>
      </c>
      <c r="O89" s="1">
        <f t="shared" si="22"/>
        <v>0.4</v>
      </c>
      <c r="P89" s="1">
        <f t="shared" si="23"/>
        <v>0.6</v>
      </c>
      <c r="Q89" s="1">
        <f t="shared" si="24"/>
        <v>0.8</v>
      </c>
      <c r="R89" s="1">
        <f t="shared" si="25"/>
        <v>1</v>
      </c>
      <c r="S89" s="1">
        <f t="shared" si="26"/>
        <v>0</v>
      </c>
      <c r="T89" s="1">
        <f t="shared" si="27"/>
        <v>6</v>
      </c>
      <c r="U89" s="1" t="str">
        <f t="shared" si="28"/>
        <v xml:space="preserve">Neutral </v>
      </c>
    </row>
    <row r="90" spans="1:21" x14ac:dyDescent="0.2">
      <c r="A90" s="3" t="s">
        <v>101</v>
      </c>
      <c r="B90" s="1">
        <v>0.63690000000000002</v>
      </c>
      <c r="C90" s="1" t="s">
        <v>5</v>
      </c>
      <c r="D90" s="1">
        <v>0.8</v>
      </c>
      <c r="E90" s="4">
        <v>2022</v>
      </c>
      <c r="H90" s="1">
        <f t="shared" si="15"/>
        <v>1.7906</v>
      </c>
      <c r="I90" s="1">
        <f t="shared" si="16"/>
        <v>1.5906</v>
      </c>
      <c r="J90" s="1">
        <f t="shared" si="17"/>
        <v>1.3906000000000001</v>
      </c>
      <c r="K90" s="1">
        <f t="shared" si="18"/>
        <v>1.1905999999999999</v>
      </c>
      <c r="L90" s="1">
        <f t="shared" si="19"/>
        <v>0.99059999999999993</v>
      </c>
      <c r="M90" s="1">
        <f t="shared" si="20"/>
        <v>0.79059999999999997</v>
      </c>
      <c r="N90" s="1">
        <f t="shared" si="21"/>
        <v>0.59060000000000001</v>
      </c>
      <c r="O90" s="1">
        <f t="shared" si="22"/>
        <v>0.39059999999999995</v>
      </c>
      <c r="P90" s="1">
        <f t="shared" si="23"/>
        <v>0.19059999999999999</v>
      </c>
      <c r="Q90" s="1">
        <f t="shared" si="24"/>
        <v>9.400000000000075E-3</v>
      </c>
      <c r="R90" s="1">
        <f t="shared" si="25"/>
        <v>0.20940000000000003</v>
      </c>
      <c r="S90" s="1">
        <f t="shared" si="26"/>
        <v>9.400000000000075E-3</v>
      </c>
      <c r="T90" s="1">
        <f t="shared" si="27"/>
        <v>10</v>
      </c>
      <c r="U90" s="1" t="str">
        <f t="shared" si="28"/>
        <v xml:space="preserve">Consolidado </v>
      </c>
    </row>
    <row r="91" spans="1:21" x14ac:dyDescent="0.2">
      <c r="A91" s="3" t="s">
        <v>102</v>
      </c>
      <c r="B91" s="1">
        <v>0.89100000000000001</v>
      </c>
      <c r="C91" s="1" t="s">
        <v>18</v>
      </c>
      <c r="D91" s="1">
        <v>0.9</v>
      </c>
      <c r="E91" s="4">
        <v>2023</v>
      </c>
      <c r="H91" s="1">
        <f t="shared" si="15"/>
        <v>1.6369</v>
      </c>
      <c r="I91" s="1">
        <f t="shared" si="16"/>
        <v>1.4369000000000001</v>
      </c>
      <c r="J91" s="1">
        <f t="shared" si="17"/>
        <v>1.2368999999999999</v>
      </c>
      <c r="K91" s="1">
        <f t="shared" si="18"/>
        <v>1.0369000000000002</v>
      </c>
      <c r="L91" s="1">
        <f t="shared" si="19"/>
        <v>0.83689999999999998</v>
      </c>
      <c r="M91" s="1">
        <f t="shared" si="20"/>
        <v>0.63690000000000002</v>
      </c>
      <c r="N91" s="1">
        <f t="shared" si="21"/>
        <v>0.43690000000000001</v>
      </c>
      <c r="O91" s="1">
        <f t="shared" si="22"/>
        <v>0.2369</v>
      </c>
      <c r="P91" s="1">
        <f t="shared" si="23"/>
        <v>3.6900000000000044E-2</v>
      </c>
      <c r="Q91" s="1">
        <f t="shared" si="24"/>
        <v>0.16310000000000002</v>
      </c>
      <c r="R91" s="1">
        <f t="shared" si="25"/>
        <v>0.36309999999999998</v>
      </c>
      <c r="S91" s="1">
        <f t="shared" si="26"/>
        <v>3.6900000000000044E-2</v>
      </c>
      <c r="T91" s="1">
        <f t="shared" si="27"/>
        <v>9</v>
      </c>
      <c r="U91" s="1" t="str">
        <f t="shared" si="28"/>
        <v xml:space="preserve">Convicción </v>
      </c>
    </row>
    <row r="92" spans="1:21" x14ac:dyDescent="0.2">
      <c r="A92" s="3" t="s">
        <v>103</v>
      </c>
      <c r="B92" s="1">
        <v>-0.70960000000000001</v>
      </c>
      <c r="C92" s="1" t="s">
        <v>104</v>
      </c>
      <c r="D92" s="1">
        <v>0.1</v>
      </c>
      <c r="E92" s="4">
        <v>2023</v>
      </c>
      <c r="H92" s="1">
        <f t="shared" si="15"/>
        <v>1.891</v>
      </c>
      <c r="I92" s="1">
        <f t="shared" si="16"/>
        <v>1.6910000000000001</v>
      </c>
      <c r="J92" s="1">
        <f t="shared" si="17"/>
        <v>1.4910000000000001</v>
      </c>
      <c r="K92" s="1">
        <f t="shared" si="18"/>
        <v>1.2909999999999999</v>
      </c>
      <c r="L92" s="1">
        <f t="shared" si="19"/>
        <v>1.091</v>
      </c>
      <c r="M92" s="1">
        <f t="shared" si="20"/>
        <v>0.89100000000000001</v>
      </c>
      <c r="N92" s="1">
        <f t="shared" si="21"/>
        <v>0.69100000000000006</v>
      </c>
      <c r="O92" s="1">
        <f t="shared" si="22"/>
        <v>0.49099999999999999</v>
      </c>
      <c r="P92" s="1">
        <f t="shared" si="23"/>
        <v>0.29100000000000004</v>
      </c>
      <c r="Q92" s="1">
        <f t="shared" si="24"/>
        <v>9.099999999999997E-2</v>
      </c>
      <c r="R92" s="1">
        <f t="shared" si="25"/>
        <v>0.10899999999999999</v>
      </c>
      <c r="S92" s="1">
        <f t="shared" si="26"/>
        <v>9.099999999999997E-2</v>
      </c>
      <c r="T92" s="1">
        <f t="shared" si="27"/>
        <v>10</v>
      </c>
      <c r="U92" s="1" t="str">
        <f t="shared" si="28"/>
        <v xml:space="preserve">Consolidado </v>
      </c>
    </row>
    <row r="93" spans="1:21" x14ac:dyDescent="0.2">
      <c r="A93" s="3" t="s">
        <v>105</v>
      </c>
      <c r="B93" s="1">
        <v>-0.15310000000000001</v>
      </c>
      <c r="C93" s="1" t="s">
        <v>25</v>
      </c>
      <c r="D93" s="1">
        <v>0.4</v>
      </c>
      <c r="E93" s="4">
        <v>2023</v>
      </c>
      <c r="H93" s="1">
        <f t="shared" si="15"/>
        <v>0.29039999999999999</v>
      </c>
      <c r="I93" s="1">
        <f t="shared" si="16"/>
        <v>9.0400000000000036E-2</v>
      </c>
      <c r="J93" s="1">
        <f t="shared" si="17"/>
        <v>0.10960000000000003</v>
      </c>
      <c r="K93" s="1">
        <f t="shared" si="18"/>
        <v>0.30959999999999999</v>
      </c>
      <c r="L93" s="1">
        <f t="shared" si="19"/>
        <v>0.50960000000000005</v>
      </c>
      <c r="M93" s="1">
        <f t="shared" si="20"/>
        <v>0.70960000000000001</v>
      </c>
      <c r="N93" s="1">
        <f t="shared" si="21"/>
        <v>0.90959999999999996</v>
      </c>
      <c r="O93" s="1">
        <f t="shared" si="22"/>
        <v>1.1095999999999999</v>
      </c>
      <c r="P93" s="1">
        <f t="shared" si="23"/>
        <v>1.3096000000000001</v>
      </c>
      <c r="Q93" s="1">
        <f t="shared" si="24"/>
        <v>1.5096000000000001</v>
      </c>
      <c r="R93" s="1">
        <f t="shared" si="25"/>
        <v>1.7096</v>
      </c>
      <c r="S93" s="1">
        <f t="shared" si="26"/>
        <v>9.0400000000000036E-2</v>
      </c>
      <c r="T93" s="1">
        <f t="shared" si="27"/>
        <v>2</v>
      </c>
      <c r="U93" s="1" t="str">
        <f t="shared" si="28"/>
        <v>Pesimismo</v>
      </c>
    </row>
    <row r="94" spans="1:21" x14ac:dyDescent="0.2">
      <c r="A94" s="3" t="s">
        <v>106</v>
      </c>
      <c r="B94" s="1">
        <v>0.85680000000000001</v>
      </c>
      <c r="C94" s="1" t="s">
        <v>18</v>
      </c>
      <c r="D94" s="1">
        <v>0.9</v>
      </c>
      <c r="E94" s="4">
        <v>2023</v>
      </c>
      <c r="H94" s="1">
        <f t="shared" si="15"/>
        <v>0.84689999999999999</v>
      </c>
      <c r="I94" s="1">
        <f t="shared" si="16"/>
        <v>0.64690000000000003</v>
      </c>
      <c r="J94" s="1">
        <f t="shared" si="17"/>
        <v>0.44689999999999996</v>
      </c>
      <c r="K94" s="1">
        <f t="shared" si="18"/>
        <v>0.24690000000000001</v>
      </c>
      <c r="L94" s="1">
        <f t="shared" si="19"/>
        <v>4.6899999999999997E-2</v>
      </c>
      <c r="M94" s="1">
        <f t="shared" si="20"/>
        <v>0.15310000000000001</v>
      </c>
      <c r="N94" s="1">
        <f t="shared" si="21"/>
        <v>0.35310000000000002</v>
      </c>
      <c r="O94" s="1">
        <f t="shared" si="22"/>
        <v>0.55310000000000004</v>
      </c>
      <c r="P94" s="1">
        <f t="shared" si="23"/>
        <v>0.75309999999999999</v>
      </c>
      <c r="Q94" s="1">
        <f t="shared" si="24"/>
        <v>0.95310000000000006</v>
      </c>
      <c r="R94" s="1">
        <f t="shared" si="25"/>
        <v>1.1531</v>
      </c>
      <c r="S94" s="1">
        <f t="shared" si="26"/>
        <v>4.6899999999999997E-2</v>
      </c>
      <c r="T94" s="1">
        <f t="shared" si="27"/>
        <v>5</v>
      </c>
      <c r="U94" s="1" t="str">
        <f t="shared" si="28"/>
        <v>Indiferente</v>
      </c>
    </row>
    <row r="95" spans="1:21" x14ac:dyDescent="0.2">
      <c r="A95" s="3" t="s">
        <v>107</v>
      </c>
      <c r="B95" s="1">
        <v>-0.51060000000000005</v>
      </c>
      <c r="C95" s="1" t="s">
        <v>46</v>
      </c>
      <c r="D95" s="1">
        <v>0.2</v>
      </c>
      <c r="E95" s="4">
        <v>2023</v>
      </c>
      <c r="H95" s="1">
        <f t="shared" si="15"/>
        <v>1.8568</v>
      </c>
      <c r="I95" s="1">
        <f t="shared" si="16"/>
        <v>1.6568000000000001</v>
      </c>
      <c r="J95" s="1">
        <f t="shared" si="17"/>
        <v>1.4567999999999999</v>
      </c>
      <c r="K95" s="1">
        <f t="shared" si="18"/>
        <v>1.2568000000000001</v>
      </c>
      <c r="L95" s="1">
        <f t="shared" si="19"/>
        <v>1.0568</v>
      </c>
      <c r="M95" s="1">
        <f t="shared" si="20"/>
        <v>0.85680000000000001</v>
      </c>
      <c r="N95" s="1">
        <f t="shared" si="21"/>
        <v>0.65680000000000005</v>
      </c>
      <c r="O95" s="1">
        <f t="shared" si="22"/>
        <v>0.45679999999999998</v>
      </c>
      <c r="P95" s="1">
        <f t="shared" si="23"/>
        <v>0.25680000000000003</v>
      </c>
      <c r="Q95" s="1">
        <f t="shared" si="24"/>
        <v>5.6799999999999962E-2</v>
      </c>
      <c r="R95" s="1">
        <f t="shared" si="25"/>
        <v>0.14319999999999999</v>
      </c>
      <c r="S95" s="1">
        <f t="shared" si="26"/>
        <v>5.6799999999999962E-2</v>
      </c>
      <c r="T95" s="1">
        <f t="shared" si="27"/>
        <v>10</v>
      </c>
      <c r="U95" s="1" t="str">
        <f t="shared" si="28"/>
        <v xml:space="preserve">Consolidado </v>
      </c>
    </row>
    <row r="96" spans="1:21" x14ac:dyDescent="0.2">
      <c r="A96" s="3" t="s">
        <v>108</v>
      </c>
      <c r="B96" s="1">
        <v>0.38179999999999997</v>
      </c>
      <c r="C96" s="1" t="s">
        <v>11</v>
      </c>
      <c r="D96" s="1">
        <v>0.7</v>
      </c>
      <c r="E96" s="4">
        <v>2023</v>
      </c>
      <c r="H96" s="1">
        <f t="shared" si="15"/>
        <v>0.48939999999999995</v>
      </c>
      <c r="I96" s="1">
        <f t="shared" si="16"/>
        <v>0.28939999999999999</v>
      </c>
      <c r="J96" s="1">
        <f t="shared" si="17"/>
        <v>8.9399999999999924E-2</v>
      </c>
      <c r="K96" s="1">
        <f t="shared" si="18"/>
        <v>0.11060000000000003</v>
      </c>
      <c r="L96" s="1">
        <f t="shared" si="19"/>
        <v>0.31060000000000004</v>
      </c>
      <c r="M96" s="1">
        <f t="shared" si="20"/>
        <v>0.51060000000000005</v>
      </c>
      <c r="N96" s="1">
        <f t="shared" si="21"/>
        <v>0.71060000000000012</v>
      </c>
      <c r="O96" s="1">
        <f t="shared" si="22"/>
        <v>0.91060000000000008</v>
      </c>
      <c r="P96" s="1">
        <f t="shared" si="23"/>
        <v>1.1106</v>
      </c>
      <c r="Q96" s="1">
        <f t="shared" si="24"/>
        <v>1.3106</v>
      </c>
      <c r="R96" s="1">
        <f t="shared" si="25"/>
        <v>1.5106000000000002</v>
      </c>
      <c r="S96" s="1">
        <f t="shared" si="26"/>
        <v>8.9399999999999924E-2</v>
      </c>
      <c r="T96" s="1">
        <f t="shared" si="27"/>
        <v>3</v>
      </c>
      <c r="U96" s="1" t="str">
        <f t="shared" si="28"/>
        <v>Inestabilidad</v>
      </c>
    </row>
    <row r="97" spans="1:21" x14ac:dyDescent="0.2">
      <c r="A97" s="3" t="s">
        <v>109</v>
      </c>
      <c r="B97" s="1">
        <v>-0.2732</v>
      </c>
      <c r="C97" s="1" t="s">
        <v>25</v>
      </c>
      <c r="D97" s="1">
        <v>0.4</v>
      </c>
      <c r="E97" s="4">
        <v>2023</v>
      </c>
      <c r="H97" s="1">
        <f t="shared" si="15"/>
        <v>1.3817999999999999</v>
      </c>
      <c r="I97" s="1">
        <f t="shared" si="16"/>
        <v>1.1818</v>
      </c>
      <c r="J97" s="1">
        <f t="shared" si="17"/>
        <v>0.98180000000000001</v>
      </c>
      <c r="K97" s="1">
        <f t="shared" si="18"/>
        <v>0.78180000000000005</v>
      </c>
      <c r="L97" s="1">
        <f t="shared" si="19"/>
        <v>0.58179999999999998</v>
      </c>
      <c r="M97" s="1">
        <f t="shared" si="20"/>
        <v>0.38179999999999997</v>
      </c>
      <c r="N97" s="1">
        <f t="shared" si="21"/>
        <v>0.18179999999999996</v>
      </c>
      <c r="O97" s="1">
        <f t="shared" si="22"/>
        <v>1.8200000000000049E-2</v>
      </c>
      <c r="P97" s="1">
        <f t="shared" si="23"/>
        <v>0.21820000000000001</v>
      </c>
      <c r="Q97" s="1">
        <f t="shared" si="24"/>
        <v>0.41820000000000007</v>
      </c>
      <c r="R97" s="1">
        <f t="shared" si="25"/>
        <v>0.61820000000000008</v>
      </c>
      <c r="S97" s="1">
        <f t="shared" si="26"/>
        <v>1.8200000000000049E-2</v>
      </c>
      <c r="T97" s="1">
        <f t="shared" si="27"/>
        <v>8</v>
      </c>
      <c r="U97" s="1" t="str">
        <f t="shared" si="28"/>
        <v>Optimismo</v>
      </c>
    </row>
    <row r="98" spans="1:21" x14ac:dyDescent="0.2">
      <c r="A98" s="3" t="s">
        <v>110</v>
      </c>
      <c r="B98" s="1">
        <v>0</v>
      </c>
      <c r="C98" s="1" t="s">
        <v>9</v>
      </c>
      <c r="D98" s="1">
        <v>0.5</v>
      </c>
      <c r="E98" s="4">
        <v>2023</v>
      </c>
      <c r="H98" s="1">
        <f t="shared" si="15"/>
        <v>0.7268</v>
      </c>
      <c r="I98" s="1">
        <f t="shared" si="16"/>
        <v>0.52680000000000005</v>
      </c>
      <c r="J98" s="1">
        <f t="shared" si="17"/>
        <v>0.32679999999999998</v>
      </c>
      <c r="K98" s="1">
        <f t="shared" si="18"/>
        <v>0.12680000000000002</v>
      </c>
      <c r="L98" s="1">
        <f t="shared" si="19"/>
        <v>7.3199999999999987E-2</v>
      </c>
      <c r="M98" s="1">
        <f t="shared" si="20"/>
        <v>0.2732</v>
      </c>
      <c r="N98" s="1">
        <f t="shared" si="21"/>
        <v>0.47320000000000001</v>
      </c>
      <c r="O98" s="1">
        <f t="shared" si="22"/>
        <v>0.67320000000000002</v>
      </c>
      <c r="P98" s="1">
        <f t="shared" si="23"/>
        <v>0.87319999999999998</v>
      </c>
      <c r="Q98" s="1">
        <f t="shared" si="24"/>
        <v>1.0731999999999999</v>
      </c>
      <c r="R98" s="1">
        <f t="shared" si="25"/>
        <v>1.2732000000000001</v>
      </c>
      <c r="S98" s="1">
        <f t="shared" si="26"/>
        <v>7.3199999999999987E-2</v>
      </c>
      <c r="T98" s="1">
        <f t="shared" si="27"/>
        <v>5</v>
      </c>
      <c r="U98" s="1" t="str">
        <f t="shared" si="28"/>
        <v>Indiferente</v>
      </c>
    </row>
    <row r="99" spans="1:21" x14ac:dyDescent="0.2">
      <c r="A99" s="3" t="s">
        <v>111</v>
      </c>
      <c r="B99" s="1">
        <v>0</v>
      </c>
      <c r="C99" s="1" t="s">
        <v>9</v>
      </c>
      <c r="D99" s="1">
        <v>0.5</v>
      </c>
      <c r="E99" s="4">
        <v>2023</v>
      </c>
      <c r="H99" s="1">
        <f t="shared" si="15"/>
        <v>1</v>
      </c>
      <c r="I99" s="1">
        <f t="shared" si="16"/>
        <v>0.8</v>
      </c>
      <c r="J99" s="1">
        <f t="shared" si="17"/>
        <v>0.6</v>
      </c>
      <c r="K99" s="1">
        <f t="shared" si="18"/>
        <v>0.4</v>
      </c>
      <c r="L99" s="1">
        <f t="shared" si="19"/>
        <v>0.2</v>
      </c>
      <c r="M99" s="1">
        <f t="shared" si="20"/>
        <v>0</v>
      </c>
      <c r="N99" s="1">
        <f t="shared" si="21"/>
        <v>0.2</v>
      </c>
      <c r="O99" s="1">
        <f t="shared" si="22"/>
        <v>0.4</v>
      </c>
      <c r="P99" s="1">
        <f t="shared" si="23"/>
        <v>0.6</v>
      </c>
      <c r="Q99" s="1">
        <f t="shared" si="24"/>
        <v>0.8</v>
      </c>
      <c r="R99" s="1">
        <f t="shared" si="25"/>
        <v>1</v>
      </c>
      <c r="S99" s="1">
        <f t="shared" si="26"/>
        <v>0</v>
      </c>
      <c r="T99" s="1">
        <f t="shared" si="27"/>
        <v>6</v>
      </c>
      <c r="U99" s="1" t="str">
        <f t="shared" si="28"/>
        <v xml:space="preserve">Neutral </v>
      </c>
    </row>
    <row r="100" spans="1:21" x14ac:dyDescent="0.2">
      <c r="A100" s="3" t="s">
        <v>112</v>
      </c>
      <c r="B100" s="1">
        <v>0.20230000000000001</v>
      </c>
      <c r="C100" s="1" t="s">
        <v>36</v>
      </c>
      <c r="D100" s="1">
        <v>0.6</v>
      </c>
      <c r="E100" s="4">
        <v>2023</v>
      </c>
      <c r="H100" s="1">
        <f t="shared" si="15"/>
        <v>1</v>
      </c>
      <c r="I100" s="1">
        <f t="shared" si="16"/>
        <v>0.8</v>
      </c>
      <c r="J100" s="1">
        <f t="shared" si="17"/>
        <v>0.6</v>
      </c>
      <c r="K100" s="1">
        <f t="shared" si="18"/>
        <v>0.4</v>
      </c>
      <c r="L100" s="1">
        <f t="shared" si="19"/>
        <v>0.2</v>
      </c>
      <c r="M100" s="1">
        <f t="shared" si="20"/>
        <v>0</v>
      </c>
      <c r="N100" s="1">
        <f t="shared" si="21"/>
        <v>0.2</v>
      </c>
      <c r="O100" s="1">
        <f t="shared" si="22"/>
        <v>0.4</v>
      </c>
      <c r="P100" s="1">
        <f t="shared" si="23"/>
        <v>0.6</v>
      </c>
      <c r="Q100" s="1">
        <f t="shared" si="24"/>
        <v>0.8</v>
      </c>
      <c r="R100" s="1">
        <f t="shared" si="25"/>
        <v>1</v>
      </c>
      <c r="S100" s="1">
        <f t="shared" si="26"/>
        <v>0</v>
      </c>
      <c r="T100" s="1">
        <f t="shared" si="27"/>
        <v>6</v>
      </c>
      <c r="U100" s="1" t="str">
        <f t="shared" si="28"/>
        <v xml:space="preserve">Neutral </v>
      </c>
    </row>
    <row r="101" spans="1:21" x14ac:dyDescent="0.2">
      <c r="A101" s="3" t="s">
        <v>113</v>
      </c>
      <c r="B101" s="1">
        <v>0.20230000000000001</v>
      </c>
      <c r="C101" s="1" t="s">
        <v>36</v>
      </c>
      <c r="D101" s="1">
        <v>0.6</v>
      </c>
      <c r="E101" s="4">
        <v>2023</v>
      </c>
      <c r="H101" s="1">
        <f t="shared" si="15"/>
        <v>1.2022999999999999</v>
      </c>
      <c r="I101" s="1">
        <f t="shared" si="16"/>
        <v>1.0023</v>
      </c>
      <c r="J101" s="1">
        <f t="shared" si="17"/>
        <v>0.80230000000000001</v>
      </c>
      <c r="K101" s="1">
        <f t="shared" si="18"/>
        <v>0.60230000000000006</v>
      </c>
      <c r="L101" s="1">
        <f t="shared" si="19"/>
        <v>0.40229999999999999</v>
      </c>
      <c r="M101" s="1">
        <f t="shared" si="20"/>
        <v>0.20230000000000001</v>
      </c>
      <c r="N101" s="1">
        <f t="shared" si="21"/>
        <v>2.2999999999999965E-3</v>
      </c>
      <c r="O101" s="1">
        <f t="shared" si="22"/>
        <v>0.19770000000000001</v>
      </c>
      <c r="P101" s="1">
        <f t="shared" si="23"/>
        <v>0.39769999999999994</v>
      </c>
      <c r="Q101" s="1">
        <f t="shared" si="24"/>
        <v>0.59770000000000001</v>
      </c>
      <c r="R101" s="1">
        <f t="shared" si="25"/>
        <v>0.79769999999999996</v>
      </c>
      <c r="S101" s="1">
        <f t="shared" si="26"/>
        <v>2.2999999999999965E-3</v>
      </c>
      <c r="T101" s="1">
        <f t="shared" si="27"/>
        <v>7</v>
      </c>
      <c r="U101" s="1" t="str">
        <f t="shared" si="28"/>
        <v>Favorable</v>
      </c>
    </row>
    <row r="102" spans="1:21" x14ac:dyDescent="0.2">
      <c r="A102" s="3" t="s">
        <v>114</v>
      </c>
      <c r="B102" s="1">
        <v>0.29599999999999999</v>
      </c>
      <c r="C102" s="1" t="s">
        <v>36</v>
      </c>
      <c r="D102" s="1">
        <v>0.6</v>
      </c>
      <c r="E102" s="4">
        <v>2023</v>
      </c>
      <c r="H102" s="1">
        <f t="shared" si="15"/>
        <v>1.2022999999999999</v>
      </c>
      <c r="I102" s="1">
        <f t="shared" si="16"/>
        <v>1.0023</v>
      </c>
      <c r="J102" s="1">
        <f t="shared" si="17"/>
        <v>0.80230000000000001</v>
      </c>
      <c r="K102" s="1">
        <f t="shared" si="18"/>
        <v>0.60230000000000006</v>
      </c>
      <c r="L102" s="1">
        <f t="shared" si="19"/>
        <v>0.40229999999999999</v>
      </c>
      <c r="M102" s="1">
        <f t="shared" si="20"/>
        <v>0.20230000000000001</v>
      </c>
      <c r="N102" s="1">
        <f t="shared" si="21"/>
        <v>2.2999999999999965E-3</v>
      </c>
      <c r="O102" s="1">
        <f t="shared" si="22"/>
        <v>0.19770000000000001</v>
      </c>
      <c r="P102" s="1">
        <f t="shared" si="23"/>
        <v>0.39769999999999994</v>
      </c>
      <c r="Q102" s="1">
        <f t="shared" si="24"/>
        <v>0.59770000000000001</v>
      </c>
      <c r="R102" s="1">
        <f t="shared" si="25"/>
        <v>0.79769999999999996</v>
      </c>
      <c r="S102" s="1">
        <f t="shared" si="26"/>
        <v>2.2999999999999965E-3</v>
      </c>
      <c r="T102" s="1">
        <f t="shared" si="27"/>
        <v>7</v>
      </c>
      <c r="U102" s="1" t="str">
        <f t="shared" si="28"/>
        <v>Favorable</v>
      </c>
    </row>
    <row r="103" spans="1:21" x14ac:dyDescent="0.2">
      <c r="A103" s="3" t="s">
        <v>115</v>
      </c>
      <c r="B103" s="1">
        <v>-0.40189999999999998</v>
      </c>
      <c r="C103" s="1" t="s">
        <v>23</v>
      </c>
      <c r="D103" s="1">
        <v>0.3</v>
      </c>
      <c r="E103" s="4">
        <v>2023</v>
      </c>
      <c r="H103" s="1">
        <f t="shared" si="15"/>
        <v>1.296</v>
      </c>
      <c r="I103" s="1">
        <f t="shared" si="16"/>
        <v>1.0960000000000001</v>
      </c>
      <c r="J103" s="1">
        <f t="shared" si="17"/>
        <v>0.89599999999999991</v>
      </c>
      <c r="K103" s="1">
        <f t="shared" si="18"/>
        <v>0.69599999999999995</v>
      </c>
      <c r="L103" s="1">
        <f t="shared" si="19"/>
        <v>0.496</v>
      </c>
      <c r="M103" s="1">
        <f t="shared" si="20"/>
        <v>0.29599999999999999</v>
      </c>
      <c r="N103" s="1">
        <f t="shared" si="21"/>
        <v>9.5999999999999974E-2</v>
      </c>
      <c r="O103" s="1">
        <f t="shared" si="22"/>
        <v>0.10400000000000004</v>
      </c>
      <c r="P103" s="1">
        <f t="shared" si="23"/>
        <v>0.30399999999999999</v>
      </c>
      <c r="Q103" s="1">
        <f t="shared" si="24"/>
        <v>0.504</v>
      </c>
      <c r="R103" s="1">
        <f t="shared" si="25"/>
        <v>0.70399999999999996</v>
      </c>
      <c r="S103" s="1">
        <f t="shared" si="26"/>
        <v>9.5999999999999974E-2</v>
      </c>
      <c r="T103" s="1">
        <f t="shared" si="27"/>
        <v>7</v>
      </c>
      <c r="U103" s="1" t="str">
        <f t="shared" si="28"/>
        <v>Favorable</v>
      </c>
    </row>
    <row r="104" spans="1:21" x14ac:dyDescent="0.2">
      <c r="A104" s="3" t="s">
        <v>116</v>
      </c>
      <c r="B104" s="1">
        <v>0</v>
      </c>
      <c r="C104" s="1" t="s">
        <v>9</v>
      </c>
      <c r="D104" s="1">
        <v>0.5</v>
      </c>
      <c r="E104" s="4">
        <v>2023</v>
      </c>
      <c r="H104" s="1">
        <f t="shared" si="15"/>
        <v>0.59810000000000008</v>
      </c>
      <c r="I104" s="1">
        <f t="shared" si="16"/>
        <v>0.39810000000000006</v>
      </c>
      <c r="J104" s="1">
        <f t="shared" si="17"/>
        <v>0.1981</v>
      </c>
      <c r="K104" s="1">
        <f t="shared" si="18"/>
        <v>1.8999999999999573E-3</v>
      </c>
      <c r="L104" s="1">
        <f t="shared" si="19"/>
        <v>0.20189999999999997</v>
      </c>
      <c r="M104" s="1">
        <f t="shared" si="20"/>
        <v>0.40189999999999998</v>
      </c>
      <c r="N104" s="1">
        <f t="shared" si="21"/>
        <v>0.60189999999999999</v>
      </c>
      <c r="O104" s="1">
        <f t="shared" si="22"/>
        <v>0.80190000000000006</v>
      </c>
      <c r="P104" s="1">
        <f t="shared" si="23"/>
        <v>1.0019</v>
      </c>
      <c r="Q104" s="1">
        <f t="shared" si="24"/>
        <v>1.2019</v>
      </c>
      <c r="R104" s="1">
        <f t="shared" si="25"/>
        <v>1.4018999999999999</v>
      </c>
      <c r="S104" s="1">
        <f t="shared" si="26"/>
        <v>1.8999999999999573E-3</v>
      </c>
      <c r="T104" s="1">
        <f t="shared" si="27"/>
        <v>4</v>
      </c>
      <c r="U104" s="1" t="str">
        <f t="shared" si="28"/>
        <v>Escepticismo</v>
      </c>
    </row>
    <row r="105" spans="1:21" x14ac:dyDescent="0.2">
      <c r="A105" s="3" t="s">
        <v>117</v>
      </c>
      <c r="B105" s="1">
        <v>-0.59940000000000004</v>
      </c>
      <c r="C105" s="1" t="s">
        <v>46</v>
      </c>
      <c r="D105" s="1">
        <v>0.2</v>
      </c>
      <c r="E105" s="4">
        <v>2023</v>
      </c>
      <c r="H105" s="1">
        <f t="shared" si="15"/>
        <v>1</v>
      </c>
      <c r="I105" s="1">
        <f t="shared" si="16"/>
        <v>0.8</v>
      </c>
      <c r="J105" s="1">
        <f t="shared" si="17"/>
        <v>0.6</v>
      </c>
      <c r="K105" s="1">
        <f t="shared" si="18"/>
        <v>0.4</v>
      </c>
      <c r="L105" s="1">
        <f t="shared" si="19"/>
        <v>0.2</v>
      </c>
      <c r="M105" s="1">
        <f t="shared" si="20"/>
        <v>0</v>
      </c>
      <c r="N105" s="1">
        <f t="shared" si="21"/>
        <v>0.2</v>
      </c>
      <c r="O105" s="1">
        <f t="shared" si="22"/>
        <v>0.4</v>
      </c>
      <c r="P105" s="1">
        <f t="shared" si="23"/>
        <v>0.6</v>
      </c>
      <c r="Q105" s="1">
        <f t="shared" si="24"/>
        <v>0.8</v>
      </c>
      <c r="R105" s="1">
        <f t="shared" si="25"/>
        <v>1</v>
      </c>
      <c r="S105" s="1">
        <f t="shared" si="26"/>
        <v>0</v>
      </c>
      <c r="T105" s="1">
        <f t="shared" si="27"/>
        <v>6</v>
      </c>
      <c r="U105" s="1" t="str">
        <f t="shared" si="28"/>
        <v xml:space="preserve">Neutral </v>
      </c>
    </row>
    <row r="106" spans="1:21" x14ac:dyDescent="0.2">
      <c r="A106" s="3" t="s">
        <v>118</v>
      </c>
      <c r="B106" s="1">
        <v>-0.45879999999999999</v>
      </c>
      <c r="C106" s="1" t="s">
        <v>23</v>
      </c>
      <c r="D106" s="1">
        <v>0.3</v>
      </c>
      <c r="E106" s="4">
        <v>2023</v>
      </c>
      <c r="H106" s="1">
        <f t="shared" si="15"/>
        <v>0.40059999999999996</v>
      </c>
      <c r="I106" s="1">
        <f t="shared" si="16"/>
        <v>0.2006</v>
      </c>
      <c r="J106" s="1">
        <f t="shared" si="17"/>
        <v>5.9999999999993392E-4</v>
      </c>
      <c r="K106" s="1">
        <f t="shared" si="18"/>
        <v>0.19940000000000002</v>
      </c>
      <c r="L106" s="1">
        <f t="shared" si="19"/>
        <v>0.39940000000000003</v>
      </c>
      <c r="M106" s="1">
        <f t="shared" si="20"/>
        <v>0.59940000000000004</v>
      </c>
      <c r="N106" s="1">
        <f t="shared" si="21"/>
        <v>0.79940000000000011</v>
      </c>
      <c r="O106" s="1">
        <f t="shared" si="22"/>
        <v>0.99940000000000007</v>
      </c>
      <c r="P106" s="1">
        <f t="shared" si="23"/>
        <v>1.1994</v>
      </c>
      <c r="Q106" s="1">
        <f t="shared" si="24"/>
        <v>1.3994</v>
      </c>
      <c r="R106" s="1">
        <f t="shared" si="25"/>
        <v>1.5994000000000002</v>
      </c>
      <c r="S106" s="1">
        <f t="shared" si="26"/>
        <v>5.9999999999993392E-4</v>
      </c>
      <c r="T106" s="1">
        <f t="shared" si="27"/>
        <v>3</v>
      </c>
      <c r="U106" s="1" t="str">
        <f t="shared" si="28"/>
        <v>Inestabilidad</v>
      </c>
    </row>
    <row r="107" spans="1:21" x14ac:dyDescent="0.2">
      <c r="A107" s="3" t="s">
        <v>119</v>
      </c>
      <c r="B107" s="1">
        <v>0.69079999999999997</v>
      </c>
      <c r="C107" s="1" t="s">
        <v>5</v>
      </c>
      <c r="D107" s="1">
        <v>0.8</v>
      </c>
      <c r="E107" s="4">
        <v>2023</v>
      </c>
      <c r="H107" s="1">
        <f t="shared" si="15"/>
        <v>0.54120000000000001</v>
      </c>
      <c r="I107" s="1">
        <f t="shared" si="16"/>
        <v>0.34120000000000006</v>
      </c>
      <c r="J107" s="1">
        <f t="shared" si="17"/>
        <v>0.14119999999999999</v>
      </c>
      <c r="K107" s="1">
        <f t="shared" si="18"/>
        <v>5.8799999999999963E-2</v>
      </c>
      <c r="L107" s="1">
        <f t="shared" si="19"/>
        <v>0.25879999999999997</v>
      </c>
      <c r="M107" s="1">
        <f t="shared" si="20"/>
        <v>0.45879999999999999</v>
      </c>
      <c r="N107" s="1">
        <f t="shared" si="21"/>
        <v>0.65880000000000005</v>
      </c>
      <c r="O107" s="1">
        <f t="shared" si="22"/>
        <v>0.85880000000000001</v>
      </c>
      <c r="P107" s="1">
        <f t="shared" si="23"/>
        <v>1.0588</v>
      </c>
      <c r="Q107" s="1">
        <f t="shared" si="24"/>
        <v>1.2587999999999999</v>
      </c>
      <c r="R107" s="1">
        <f t="shared" si="25"/>
        <v>1.4588000000000001</v>
      </c>
      <c r="S107" s="1">
        <f t="shared" si="26"/>
        <v>5.8799999999999963E-2</v>
      </c>
      <c r="T107" s="1">
        <f t="shared" si="27"/>
        <v>4</v>
      </c>
      <c r="U107" s="1" t="str">
        <f t="shared" si="28"/>
        <v>Escepticismo</v>
      </c>
    </row>
    <row r="108" spans="1:21" x14ac:dyDescent="0.2">
      <c r="A108" s="3" t="s">
        <v>120</v>
      </c>
      <c r="B108" s="1">
        <v>0.68079999999999996</v>
      </c>
      <c r="C108" s="1" t="s">
        <v>5</v>
      </c>
      <c r="D108" s="1">
        <v>0.8</v>
      </c>
      <c r="E108" s="4">
        <v>2023</v>
      </c>
      <c r="H108" s="1">
        <f t="shared" si="15"/>
        <v>1.6907999999999999</v>
      </c>
      <c r="I108" s="1">
        <f t="shared" si="16"/>
        <v>1.4908000000000001</v>
      </c>
      <c r="J108" s="1">
        <f t="shared" si="17"/>
        <v>1.2907999999999999</v>
      </c>
      <c r="K108" s="1">
        <f t="shared" si="18"/>
        <v>1.0908</v>
      </c>
      <c r="L108" s="1">
        <f t="shared" si="19"/>
        <v>0.89080000000000004</v>
      </c>
      <c r="M108" s="1">
        <f t="shared" si="20"/>
        <v>0.69079999999999997</v>
      </c>
      <c r="N108" s="1">
        <f t="shared" si="21"/>
        <v>0.49079999999999996</v>
      </c>
      <c r="O108" s="1">
        <f t="shared" si="22"/>
        <v>0.29079999999999995</v>
      </c>
      <c r="P108" s="1">
        <f t="shared" si="23"/>
        <v>9.0799999999999992E-2</v>
      </c>
      <c r="Q108" s="1">
        <f t="shared" si="24"/>
        <v>0.10920000000000007</v>
      </c>
      <c r="R108" s="1">
        <f t="shared" si="25"/>
        <v>0.30920000000000003</v>
      </c>
      <c r="S108" s="1">
        <f t="shared" si="26"/>
        <v>9.0799999999999992E-2</v>
      </c>
      <c r="T108" s="1">
        <f t="shared" si="27"/>
        <v>9</v>
      </c>
      <c r="U108" s="1" t="str">
        <f t="shared" si="28"/>
        <v xml:space="preserve">Convicción </v>
      </c>
    </row>
    <row r="109" spans="1:21" x14ac:dyDescent="0.2">
      <c r="A109" s="3" t="s">
        <v>121</v>
      </c>
      <c r="B109" s="1">
        <v>-2.58E-2</v>
      </c>
      <c r="C109" s="1" t="s">
        <v>9</v>
      </c>
      <c r="D109" s="1">
        <v>0.5</v>
      </c>
      <c r="E109" s="4">
        <v>2023</v>
      </c>
      <c r="H109" s="1">
        <f t="shared" si="15"/>
        <v>1.6808000000000001</v>
      </c>
      <c r="I109" s="1">
        <f t="shared" si="16"/>
        <v>1.4807999999999999</v>
      </c>
      <c r="J109" s="1">
        <f t="shared" si="17"/>
        <v>1.2807999999999999</v>
      </c>
      <c r="K109" s="1">
        <f t="shared" si="18"/>
        <v>1.0808</v>
      </c>
      <c r="L109" s="1">
        <f t="shared" si="19"/>
        <v>0.88080000000000003</v>
      </c>
      <c r="M109" s="1">
        <f t="shared" si="20"/>
        <v>0.68079999999999996</v>
      </c>
      <c r="N109" s="1">
        <f t="shared" si="21"/>
        <v>0.48079999999999995</v>
      </c>
      <c r="O109" s="1">
        <f t="shared" si="22"/>
        <v>0.28079999999999994</v>
      </c>
      <c r="P109" s="1">
        <f t="shared" si="23"/>
        <v>8.0799999999999983E-2</v>
      </c>
      <c r="Q109" s="1">
        <f t="shared" si="24"/>
        <v>0.11920000000000008</v>
      </c>
      <c r="R109" s="1">
        <f t="shared" si="25"/>
        <v>0.31920000000000004</v>
      </c>
      <c r="S109" s="1">
        <f t="shared" si="26"/>
        <v>8.0799999999999983E-2</v>
      </c>
      <c r="T109" s="1">
        <f t="shared" si="27"/>
        <v>9</v>
      </c>
      <c r="U109" s="1" t="str">
        <f t="shared" si="28"/>
        <v xml:space="preserve">Convicción </v>
      </c>
    </row>
    <row r="110" spans="1:21" x14ac:dyDescent="0.2">
      <c r="A110" s="3" t="s">
        <v>122</v>
      </c>
      <c r="B110" s="1">
        <v>0</v>
      </c>
      <c r="C110" s="1" t="s">
        <v>9</v>
      </c>
      <c r="D110" s="1">
        <v>0.5</v>
      </c>
      <c r="E110" s="4">
        <v>2023</v>
      </c>
      <c r="H110" s="1">
        <f t="shared" si="15"/>
        <v>0.97419999999999995</v>
      </c>
      <c r="I110" s="1">
        <f t="shared" si="16"/>
        <v>0.7742</v>
      </c>
      <c r="J110" s="1">
        <f t="shared" si="17"/>
        <v>0.57419999999999993</v>
      </c>
      <c r="K110" s="1">
        <f t="shared" si="18"/>
        <v>0.37420000000000003</v>
      </c>
      <c r="L110" s="1">
        <f t="shared" si="19"/>
        <v>0.17420000000000002</v>
      </c>
      <c r="M110" s="1">
        <f t="shared" si="20"/>
        <v>2.58E-2</v>
      </c>
      <c r="N110" s="1">
        <f t="shared" si="21"/>
        <v>0.2258</v>
      </c>
      <c r="O110" s="1">
        <f t="shared" si="22"/>
        <v>0.42580000000000001</v>
      </c>
      <c r="P110" s="1">
        <f t="shared" si="23"/>
        <v>0.62580000000000002</v>
      </c>
      <c r="Q110" s="1">
        <f t="shared" si="24"/>
        <v>0.82580000000000009</v>
      </c>
      <c r="R110" s="1">
        <f t="shared" si="25"/>
        <v>1.0258</v>
      </c>
      <c r="S110" s="1">
        <f t="shared" si="26"/>
        <v>2.58E-2</v>
      </c>
      <c r="T110" s="1">
        <f t="shared" si="27"/>
        <v>6</v>
      </c>
      <c r="U110" s="1" t="str">
        <f t="shared" si="28"/>
        <v xml:space="preserve">Neutral </v>
      </c>
    </row>
    <row r="111" spans="1:21" x14ac:dyDescent="0.2">
      <c r="A111" s="3" t="s">
        <v>123</v>
      </c>
      <c r="B111" s="1">
        <v>0</v>
      </c>
      <c r="C111" s="1" t="s">
        <v>9</v>
      </c>
      <c r="D111" s="1">
        <v>0.5</v>
      </c>
      <c r="E111" s="4">
        <v>2023</v>
      </c>
      <c r="H111" s="1">
        <f t="shared" si="15"/>
        <v>1</v>
      </c>
      <c r="I111" s="1">
        <f t="shared" si="16"/>
        <v>0.8</v>
      </c>
      <c r="J111" s="1">
        <f t="shared" si="17"/>
        <v>0.6</v>
      </c>
      <c r="K111" s="1">
        <f t="shared" si="18"/>
        <v>0.4</v>
      </c>
      <c r="L111" s="1">
        <f t="shared" si="19"/>
        <v>0.2</v>
      </c>
      <c r="M111" s="1">
        <f t="shared" si="20"/>
        <v>0</v>
      </c>
      <c r="N111" s="1">
        <f t="shared" si="21"/>
        <v>0.2</v>
      </c>
      <c r="O111" s="1">
        <f t="shared" si="22"/>
        <v>0.4</v>
      </c>
      <c r="P111" s="1">
        <f t="shared" si="23"/>
        <v>0.6</v>
      </c>
      <c r="Q111" s="1">
        <f t="shared" si="24"/>
        <v>0.8</v>
      </c>
      <c r="R111" s="1">
        <f t="shared" si="25"/>
        <v>1</v>
      </c>
      <c r="S111" s="1">
        <f t="shared" si="26"/>
        <v>0</v>
      </c>
      <c r="T111" s="1">
        <f t="shared" si="27"/>
        <v>6</v>
      </c>
      <c r="U111" s="1" t="str">
        <f t="shared" si="28"/>
        <v xml:space="preserve">Neutral </v>
      </c>
    </row>
    <row r="112" spans="1:21" x14ac:dyDescent="0.2">
      <c r="A112" s="3" t="s">
        <v>124</v>
      </c>
      <c r="B112" s="1">
        <v>0</v>
      </c>
      <c r="C112" s="1" t="s">
        <v>9</v>
      </c>
      <c r="D112" s="1">
        <v>0.5</v>
      </c>
      <c r="E112" s="4">
        <v>2023</v>
      </c>
      <c r="H112" s="1">
        <f t="shared" si="15"/>
        <v>1</v>
      </c>
      <c r="I112" s="1">
        <f t="shared" si="16"/>
        <v>0.8</v>
      </c>
      <c r="J112" s="1">
        <f t="shared" si="17"/>
        <v>0.6</v>
      </c>
      <c r="K112" s="1">
        <f t="shared" si="18"/>
        <v>0.4</v>
      </c>
      <c r="L112" s="1">
        <f t="shared" si="19"/>
        <v>0.2</v>
      </c>
      <c r="M112" s="1">
        <f t="shared" si="20"/>
        <v>0</v>
      </c>
      <c r="N112" s="1">
        <f t="shared" si="21"/>
        <v>0.2</v>
      </c>
      <c r="O112" s="1">
        <f t="shared" si="22"/>
        <v>0.4</v>
      </c>
      <c r="P112" s="1">
        <f t="shared" si="23"/>
        <v>0.6</v>
      </c>
      <c r="Q112" s="1">
        <f t="shared" si="24"/>
        <v>0.8</v>
      </c>
      <c r="R112" s="1">
        <f t="shared" si="25"/>
        <v>1</v>
      </c>
      <c r="S112" s="1">
        <f t="shared" si="26"/>
        <v>0</v>
      </c>
      <c r="T112" s="1">
        <f t="shared" si="27"/>
        <v>6</v>
      </c>
      <c r="U112" s="1" t="str">
        <f t="shared" si="28"/>
        <v xml:space="preserve">Neutral </v>
      </c>
    </row>
    <row r="113" spans="1:21" x14ac:dyDescent="0.2">
      <c r="A113" s="3" t="s">
        <v>125</v>
      </c>
      <c r="B113" s="1">
        <v>0</v>
      </c>
      <c r="C113" s="1" t="s">
        <v>9</v>
      </c>
      <c r="D113" s="1">
        <v>0.5</v>
      </c>
      <c r="E113" s="4">
        <v>2023</v>
      </c>
      <c r="H113" s="1">
        <f t="shared" si="15"/>
        <v>1</v>
      </c>
      <c r="I113" s="1">
        <f t="shared" si="16"/>
        <v>0.8</v>
      </c>
      <c r="J113" s="1">
        <f t="shared" si="17"/>
        <v>0.6</v>
      </c>
      <c r="K113" s="1">
        <f t="shared" si="18"/>
        <v>0.4</v>
      </c>
      <c r="L113" s="1">
        <f t="shared" si="19"/>
        <v>0.2</v>
      </c>
      <c r="M113" s="1">
        <f t="shared" si="20"/>
        <v>0</v>
      </c>
      <c r="N113" s="1">
        <f t="shared" si="21"/>
        <v>0.2</v>
      </c>
      <c r="O113" s="1">
        <f t="shared" si="22"/>
        <v>0.4</v>
      </c>
      <c r="P113" s="1">
        <f t="shared" si="23"/>
        <v>0.6</v>
      </c>
      <c r="Q113" s="1">
        <f t="shared" si="24"/>
        <v>0.8</v>
      </c>
      <c r="R113" s="1">
        <f t="shared" si="25"/>
        <v>1</v>
      </c>
      <c r="S113" s="1">
        <f t="shared" si="26"/>
        <v>0</v>
      </c>
      <c r="T113" s="1">
        <f t="shared" si="27"/>
        <v>6</v>
      </c>
      <c r="U113" s="1" t="str">
        <f t="shared" si="28"/>
        <v xml:space="preserve">Neutral </v>
      </c>
    </row>
    <row r="114" spans="1:21" x14ac:dyDescent="0.2">
      <c r="A114" s="3" t="s">
        <v>126</v>
      </c>
      <c r="B114" s="1">
        <v>0.44040000000000001</v>
      </c>
      <c r="C114" s="1" t="s">
        <v>11</v>
      </c>
      <c r="D114" s="1">
        <v>0.7</v>
      </c>
      <c r="E114" s="4">
        <v>2023</v>
      </c>
      <c r="H114" s="1">
        <f t="shared" si="15"/>
        <v>1</v>
      </c>
      <c r="I114" s="1">
        <f t="shared" si="16"/>
        <v>0.8</v>
      </c>
      <c r="J114" s="1">
        <f t="shared" si="17"/>
        <v>0.6</v>
      </c>
      <c r="K114" s="1">
        <f t="shared" si="18"/>
        <v>0.4</v>
      </c>
      <c r="L114" s="1">
        <f t="shared" si="19"/>
        <v>0.2</v>
      </c>
      <c r="M114" s="1">
        <f t="shared" si="20"/>
        <v>0</v>
      </c>
      <c r="N114" s="1">
        <f t="shared" si="21"/>
        <v>0.2</v>
      </c>
      <c r="O114" s="1">
        <f t="shared" si="22"/>
        <v>0.4</v>
      </c>
      <c r="P114" s="1">
        <f t="shared" si="23"/>
        <v>0.6</v>
      </c>
      <c r="Q114" s="1">
        <f t="shared" si="24"/>
        <v>0.8</v>
      </c>
      <c r="R114" s="1">
        <f t="shared" si="25"/>
        <v>1</v>
      </c>
      <c r="S114" s="1">
        <f t="shared" si="26"/>
        <v>0</v>
      </c>
      <c r="T114" s="1">
        <f t="shared" si="27"/>
        <v>6</v>
      </c>
      <c r="U114" s="1" t="str">
        <f t="shared" si="28"/>
        <v xml:space="preserve">Neutral </v>
      </c>
    </row>
    <row r="115" spans="1:21" x14ac:dyDescent="0.2">
      <c r="A115" s="3" t="s">
        <v>127</v>
      </c>
      <c r="B115" s="1">
        <v>0.45879999999999999</v>
      </c>
      <c r="C115" s="1" t="s">
        <v>11</v>
      </c>
      <c r="D115" s="1">
        <v>0.7</v>
      </c>
      <c r="E115" s="4">
        <v>2023</v>
      </c>
      <c r="H115" s="1">
        <f t="shared" si="15"/>
        <v>1.4403999999999999</v>
      </c>
      <c r="I115" s="1">
        <f t="shared" si="16"/>
        <v>1.2404000000000002</v>
      </c>
      <c r="J115" s="1">
        <f t="shared" si="17"/>
        <v>1.0404</v>
      </c>
      <c r="K115" s="1">
        <f t="shared" si="18"/>
        <v>0.84040000000000004</v>
      </c>
      <c r="L115" s="1">
        <f t="shared" si="19"/>
        <v>0.64040000000000008</v>
      </c>
      <c r="M115" s="1">
        <f t="shared" si="20"/>
        <v>0.44040000000000001</v>
      </c>
      <c r="N115" s="1">
        <f t="shared" si="21"/>
        <v>0.2404</v>
      </c>
      <c r="O115" s="1">
        <f t="shared" si="22"/>
        <v>4.0399999999999991E-2</v>
      </c>
      <c r="P115" s="1">
        <f t="shared" si="23"/>
        <v>0.15959999999999996</v>
      </c>
      <c r="Q115" s="1">
        <f t="shared" si="24"/>
        <v>0.35960000000000003</v>
      </c>
      <c r="R115" s="1">
        <f t="shared" si="25"/>
        <v>0.55959999999999999</v>
      </c>
      <c r="S115" s="1">
        <f t="shared" si="26"/>
        <v>4.0399999999999991E-2</v>
      </c>
      <c r="T115" s="1">
        <f t="shared" si="27"/>
        <v>8</v>
      </c>
      <c r="U115" s="1" t="str">
        <f t="shared" si="28"/>
        <v>Optimismo</v>
      </c>
    </row>
    <row r="116" spans="1:21" x14ac:dyDescent="0.2">
      <c r="A116" s="3" t="s">
        <v>128</v>
      </c>
      <c r="B116" s="1">
        <v>-0.65969999999999995</v>
      </c>
      <c r="C116" s="1" t="s">
        <v>46</v>
      </c>
      <c r="D116" s="1">
        <v>0.2</v>
      </c>
      <c r="E116" s="4">
        <v>2023</v>
      </c>
      <c r="H116" s="1">
        <f t="shared" si="15"/>
        <v>1.4588000000000001</v>
      </c>
      <c r="I116" s="1">
        <f t="shared" si="16"/>
        <v>1.2587999999999999</v>
      </c>
      <c r="J116" s="1">
        <f t="shared" si="17"/>
        <v>1.0588</v>
      </c>
      <c r="K116" s="1">
        <f t="shared" si="18"/>
        <v>0.85880000000000001</v>
      </c>
      <c r="L116" s="1">
        <f t="shared" si="19"/>
        <v>0.65880000000000005</v>
      </c>
      <c r="M116" s="1">
        <f t="shared" si="20"/>
        <v>0.45879999999999999</v>
      </c>
      <c r="N116" s="1">
        <f t="shared" si="21"/>
        <v>0.25879999999999997</v>
      </c>
      <c r="O116" s="1">
        <f t="shared" si="22"/>
        <v>5.8799999999999963E-2</v>
      </c>
      <c r="P116" s="1">
        <f t="shared" si="23"/>
        <v>0.14119999999999999</v>
      </c>
      <c r="Q116" s="1">
        <f t="shared" si="24"/>
        <v>0.34120000000000006</v>
      </c>
      <c r="R116" s="1">
        <f t="shared" si="25"/>
        <v>0.54120000000000001</v>
      </c>
      <c r="S116" s="1">
        <f t="shared" si="26"/>
        <v>5.8799999999999963E-2</v>
      </c>
      <c r="T116" s="1">
        <f t="shared" si="27"/>
        <v>8</v>
      </c>
      <c r="U116" s="1" t="str">
        <f t="shared" si="28"/>
        <v>Optimismo</v>
      </c>
    </row>
    <row r="117" spans="1:21" x14ac:dyDescent="0.2">
      <c r="A117" s="3" t="s">
        <v>129</v>
      </c>
      <c r="B117" s="1">
        <v>-0.40189999999999998</v>
      </c>
      <c r="C117" s="1" t="s">
        <v>23</v>
      </c>
      <c r="D117" s="1">
        <v>0.3</v>
      </c>
      <c r="E117" s="4">
        <v>2023</v>
      </c>
      <c r="H117" s="1">
        <f t="shared" si="15"/>
        <v>0.34030000000000005</v>
      </c>
      <c r="I117" s="1">
        <f t="shared" si="16"/>
        <v>0.14030000000000009</v>
      </c>
      <c r="J117" s="1">
        <f t="shared" si="17"/>
        <v>5.9699999999999975E-2</v>
      </c>
      <c r="K117" s="1">
        <f t="shared" si="18"/>
        <v>0.25969999999999993</v>
      </c>
      <c r="L117" s="1">
        <f t="shared" si="19"/>
        <v>0.45969999999999994</v>
      </c>
      <c r="M117" s="1">
        <f t="shared" si="20"/>
        <v>0.65969999999999995</v>
      </c>
      <c r="N117" s="1">
        <f t="shared" si="21"/>
        <v>0.85969999999999991</v>
      </c>
      <c r="O117" s="1">
        <f t="shared" si="22"/>
        <v>1.0596999999999999</v>
      </c>
      <c r="P117" s="1">
        <f t="shared" si="23"/>
        <v>1.2597</v>
      </c>
      <c r="Q117" s="1">
        <f t="shared" si="24"/>
        <v>1.4597</v>
      </c>
      <c r="R117" s="1">
        <f t="shared" si="25"/>
        <v>1.6597</v>
      </c>
      <c r="S117" s="1">
        <f t="shared" si="26"/>
        <v>5.9699999999999975E-2</v>
      </c>
      <c r="T117" s="1">
        <f t="shared" si="27"/>
        <v>3</v>
      </c>
      <c r="U117" s="1" t="str">
        <f t="shared" si="28"/>
        <v>Inestabilidad</v>
      </c>
    </row>
    <row r="118" spans="1:21" x14ac:dyDescent="0.2">
      <c r="A118" s="3" t="s">
        <v>130</v>
      </c>
      <c r="B118" s="1">
        <v>0.83160000000000001</v>
      </c>
      <c r="C118" s="1" t="s">
        <v>18</v>
      </c>
      <c r="D118" s="1">
        <v>0.9</v>
      </c>
      <c r="E118" s="4">
        <v>2023</v>
      </c>
      <c r="H118" s="1">
        <f t="shared" si="15"/>
        <v>0.59810000000000008</v>
      </c>
      <c r="I118" s="1">
        <f t="shared" si="16"/>
        <v>0.39810000000000006</v>
      </c>
      <c r="J118" s="1">
        <f t="shared" si="17"/>
        <v>0.1981</v>
      </c>
      <c r="K118" s="1">
        <f t="shared" si="18"/>
        <v>1.8999999999999573E-3</v>
      </c>
      <c r="L118" s="1">
        <f t="shared" si="19"/>
        <v>0.20189999999999997</v>
      </c>
      <c r="M118" s="1">
        <f t="shared" si="20"/>
        <v>0.40189999999999998</v>
      </c>
      <c r="N118" s="1">
        <f t="shared" si="21"/>
        <v>0.60189999999999999</v>
      </c>
      <c r="O118" s="1">
        <f t="shared" si="22"/>
        <v>0.80190000000000006</v>
      </c>
      <c r="P118" s="1">
        <f t="shared" si="23"/>
        <v>1.0019</v>
      </c>
      <c r="Q118" s="1">
        <f t="shared" si="24"/>
        <v>1.2019</v>
      </c>
      <c r="R118" s="1">
        <f t="shared" si="25"/>
        <v>1.4018999999999999</v>
      </c>
      <c r="S118" s="1">
        <f t="shared" si="26"/>
        <v>1.8999999999999573E-3</v>
      </c>
      <c r="T118" s="1">
        <f t="shared" si="27"/>
        <v>4</v>
      </c>
      <c r="U118" s="1" t="str">
        <f t="shared" si="28"/>
        <v>Escepticismo</v>
      </c>
    </row>
    <row r="119" spans="1:21" x14ac:dyDescent="0.2">
      <c r="A119" s="3" t="s">
        <v>131</v>
      </c>
      <c r="B119" s="1">
        <v>0</v>
      </c>
      <c r="C119" s="1" t="s">
        <v>9</v>
      </c>
      <c r="D119" s="1">
        <v>0.5</v>
      </c>
      <c r="E119" s="4">
        <v>2024</v>
      </c>
      <c r="H119" s="1">
        <f t="shared" si="15"/>
        <v>1.8315999999999999</v>
      </c>
      <c r="I119" s="1">
        <f t="shared" si="16"/>
        <v>1.6316000000000002</v>
      </c>
      <c r="J119" s="1">
        <f t="shared" si="17"/>
        <v>1.4316</v>
      </c>
      <c r="K119" s="1">
        <f t="shared" si="18"/>
        <v>1.2316</v>
      </c>
      <c r="L119" s="1">
        <f t="shared" si="19"/>
        <v>1.0316000000000001</v>
      </c>
      <c r="M119" s="1">
        <f t="shared" si="20"/>
        <v>0.83160000000000001</v>
      </c>
      <c r="N119" s="1">
        <f t="shared" si="21"/>
        <v>0.63159999999999994</v>
      </c>
      <c r="O119" s="1">
        <f t="shared" si="22"/>
        <v>0.43159999999999998</v>
      </c>
      <c r="P119" s="1">
        <f t="shared" si="23"/>
        <v>0.23160000000000003</v>
      </c>
      <c r="Q119" s="1">
        <f t="shared" si="24"/>
        <v>3.1599999999999961E-2</v>
      </c>
      <c r="R119" s="1">
        <f t="shared" si="25"/>
        <v>0.16839999999999999</v>
      </c>
      <c r="S119" s="1">
        <f t="shared" si="26"/>
        <v>3.1599999999999961E-2</v>
      </c>
      <c r="T119" s="1">
        <f t="shared" si="27"/>
        <v>10</v>
      </c>
      <c r="U119" s="1" t="str">
        <f t="shared" si="28"/>
        <v xml:space="preserve">Consolidado </v>
      </c>
    </row>
    <row r="120" spans="1:21" x14ac:dyDescent="0.2">
      <c r="A120" s="3" t="s">
        <v>132</v>
      </c>
      <c r="B120" s="1">
        <v>-0.47670000000000001</v>
      </c>
      <c r="C120" s="1" t="s">
        <v>23</v>
      </c>
      <c r="D120" s="1">
        <v>0.3</v>
      </c>
      <c r="E120" s="4">
        <v>2024</v>
      </c>
      <c r="H120" s="1">
        <f t="shared" si="15"/>
        <v>1</v>
      </c>
      <c r="I120" s="1">
        <f t="shared" si="16"/>
        <v>0.8</v>
      </c>
      <c r="J120" s="1">
        <f t="shared" si="17"/>
        <v>0.6</v>
      </c>
      <c r="K120" s="1">
        <f t="shared" si="18"/>
        <v>0.4</v>
      </c>
      <c r="L120" s="1">
        <f t="shared" si="19"/>
        <v>0.2</v>
      </c>
      <c r="M120" s="1">
        <f t="shared" si="20"/>
        <v>0</v>
      </c>
      <c r="N120" s="1">
        <f t="shared" si="21"/>
        <v>0.2</v>
      </c>
      <c r="O120" s="1">
        <f t="shared" si="22"/>
        <v>0.4</v>
      </c>
      <c r="P120" s="1">
        <f t="shared" si="23"/>
        <v>0.6</v>
      </c>
      <c r="Q120" s="1">
        <f t="shared" si="24"/>
        <v>0.8</v>
      </c>
      <c r="R120" s="1">
        <f t="shared" si="25"/>
        <v>1</v>
      </c>
      <c r="S120" s="1">
        <f t="shared" si="26"/>
        <v>0</v>
      </c>
      <c r="T120" s="1">
        <f t="shared" si="27"/>
        <v>6</v>
      </c>
      <c r="U120" s="1" t="str">
        <f t="shared" si="28"/>
        <v xml:space="preserve">Neutral </v>
      </c>
    </row>
    <row r="121" spans="1:21" x14ac:dyDescent="0.2">
      <c r="A121" s="3" t="s">
        <v>133</v>
      </c>
      <c r="B121" s="1">
        <v>0.38179999999999997</v>
      </c>
      <c r="C121" s="1" t="s">
        <v>11</v>
      </c>
      <c r="D121" s="1">
        <v>0.7</v>
      </c>
      <c r="E121" s="4">
        <v>2024</v>
      </c>
      <c r="H121" s="1">
        <f t="shared" si="15"/>
        <v>0.52329999999999999</v>
      </c>
      <c r="I121" s="1">
        <f t="shared" si="16"/>
        <v>0.32330000000000003</v>
      </c>
      <c r="J121" s="1">
        <f t="shared" si="17"/>
        <v>0.12329999999999997</v>
      </c>
      <c r="K121" s="1">
        <f t="shared" si="18"/>
        <v>7.669999999999999E-2</v>
      </c>
      <c r="L121" s="1">
        <f t="shared" si="19"/>
        <v>0.2767</v>
      </c>
      <c r="M121" s="1">
        <f t="shared" si="20"/>
        <v>0.47670000000000001</v>
      </c>
      <c r="N121" s="1">
        <f t="shared" si="21"/>
        <v>0.67670000000000008</v>
      </c>
      <c r="O121" s="1">
        <f t="shared" si="22"/>
        <v>0.87670000000000003</v>
      </c>
      <c r="P121" s="1">
        <f t="shared" si="23"/>
        <v>1.0767</v>
      </c>
      <c r="Q121" s="1">
        <f t="shared" si="24"/>
        <v>1.2766999999999999</v>
      </c>
      <c r="R121" s="1">
        <f t="shared" si="25"/>
        <v>1.4767000000000001</v>
      </c>
      <c r="S121" s="1">
        <f t="shared" si="26"/>
        <v>7.669999999999999E-2</v>
      </c>
      <c r="T121" s="1">
        <f t="shared" si="27"/>
        <v>4</v>
      </c>
      <c r="U121" s="1" t="str">
        <f t="shared" si="28"/>
        <v>Escepticismo</v>
      </c>
    </row>
    <row r="122" spans="1:21" x14ac:dyDescent="0.2">
      <c r="A122" s="3" t="s">
        <v>134</v>
      </c>
      <c r="B122" s="1">
        <v>0.42149999999999999</v>
      </c>
      <c r="C122" s="1" t="s">
        <v>11</v>
      </c>
      <c r="D122" s="1">
        <v>0.7</v>
      </c>
      <c r="E122" s="4">
        <v>2024</v>
      </c>
      <c r="H122" s="1">
        <f t="shared" si="15"/>
        <v>1.3817999999999999</v>
      </c>
      <c r="I122" s="1">
        <f t="shared" si="16"/>
        <v>1.1818</v>
      </c>
      <c r="J122" s="1">
        <f t="shared" si="17"/>
        <v>0.98180000000000001</v>
      </c>
      <c r="K122" s="1">
        <f t="shared" si="18"/>
        <v>0.78180000000000005</v>
      </c>
      <c r="L122" s="1">
        <f t="shared" si="19"/>
        <v>0.58179999999999998</v>
      </c>
      <c r="M122" s="1">
        <f t="shared" si="20"/>
        <v>0.38179999999999997</v>
      </c>
      <c r="N122" s="1">
        <f t="shared" si="21"/>
        <v>0.18179999999999996</v>
      </c>
      <c r="O122" s="1">
        <f t="shared" si="22"/>
        <v>1.8200000000000049E-2</v>
      </c>
      <c r="P122" s="1">
        <f t="shared" si="23"/>
        <v>0.21820000000000001</v>
      </c>
      <c r="Q122" s="1">
        <f t="shared" si="24"/>
        <v>0.41820000000000007</v>
      </c>
      <c r="R122" s="1">
        <f t="shared" si="25"/>
        <v>0.61820000000000008</v>
      </c>
      <c r="S122" s="1">
        <f t="shared" si="26"/>
        <v>1.8200000000000049E-2</v>
      </c>
      <c r="T122" s="1">
        <f t="shared" si="27"/>
        <v>8</v>
      </c>
      <c r="U122" s="1" t="str">
        <f t="shared" si="28"/>
        <v>Optimismo</v>
      </c>
    </row>
    <row r="123" spans="1:21" x14ac:dyDescent="0.2">
      <c r="A123" s="3" t="s">
        <v>135</v>
      </c>
      <c r="B123" s="1">
        <v>-0.59940000000000004</v>
      </c>
      <c r="C123" s="1" t="s">
        <v>46</v>
      </c>
      <c r="D123" s="1">
        <v>0.2</v>
      </c>
      <c r="E123" s="4">
        <v>2024</v>
      </c>
      <c r="H123" s="1">
        <f t="shared" si="15"/>
        <v>1.4215</v>
      </c>
      <c r="I123" s="1">
        <f t="shared" si="16"/>
        <v>1.2215</v>
      </c>
      <c r="J123" s="1">
        <f t="shared" si="17"/>
        <v>1.0215000000000001</v>
      </c>
      <c r="K123" s="1">
        <f t="shared" si="18"/>
        <v>0.82150000000000001</v>
      </c>
      <c r="L123" s="1">
        <f t="shared" si="19"/>
        <v>0.62149999999999994</v>
      </c>
      <c r="M123" s="1">
        <f t="shared" si="20"/>
        <v>0.42149999999999999</v>
      </c>
      <c r="N123" s="1">
        <f t="shared" si="21"/>
        <v>0.22149999999999997</v>
      </c>
      <c r="O123" s="1">
        <f t="shared" si="22"/>
        <v>2.1499999999999964E-2</v>
      </c>
      <c r="P123" s="1">
        <f t="shared" si="23"/>
        <v>0.17849999999999999</v>
      </c>
      <c r="Q123" s="1">
        <f t="shared" si="24"/>
        <v>0.37850000000000006</v>
      </c>
      <c r="R123" s="1">
        <f t="shared" si="25"/>
        <v>0.57850000000000001</v>
      </c>
      <c r="S123" s="1">
        <f t="shared" si="26"/>
        <v>2.1499999999999964E-2</v>
      </c>
      <c r="T123" s="1">
        <f t="shared" si="27"/>
        <v>8</v>
      </c>
      <c r="U123" s="1" t="str">
        <f t="shared" si="28"/>
        <v>Optimismo</v>
      </c>
    </row>
    <row r="124" spans="1:21" x14ac:dyDescent="0.2">
      <c r="A124" s="3" t="s">
        <v>136</v>
      </c>
      <c r="B124" s="1">
        <v>-0.2263</v>
      </c>
      <c r="C124" s="1" t="s">
        <v>25</v>
      </c>
      <c r="D124" s="1">
        <v>0.4</v>
      </c>
      <c r="E124" s="4">
        <v>2024</v>
      </c>
      <c r="H124" s="1">
        <f t="shared" si="15"/>
        <v>0.40059999999999996</v>
      </c>
      <c r="I124" s="1">
        <f t="shared" si="16"/>
        <v>0.2006</v>
      </c>
      <c r="J124" s="1">
        <f t="shared" si="17"/>
        <v>5.9999999999993392E-4</v>
      </c>
      <c r="K124" s="1">
        <f t="shared" si="18"/>
        <v>0.19940000000000002</v>
      </c>
      <c r="L124" s="1">
        <f t="shared" si="19"/>
        <v>0.39940000000000003</v>
      </c>
      <c r="M124" s="1">
        <f t="shared" si="20"/>
        <v>0.59940000000000004</v>
      </c>
      <c r="N124" s="1">
        <f t="shared" si="21"/>
        <v>0.79940000000000011</v>
      </c>
      <c r="O124" s="1">
        <f t="shared" si="22"/>
        <v>0.99940000000000007</v>
      </c>
      <c r="P124" s="1">
        <f t="shared" si="23"/>
        <v>1.1994</v>
      </c>
      <c r="Q124" s="1">
        <f t="shared" si="24"/>
        <v>1.3994</v>
      </c>
      <c r="R124" s="1">
        <f t="shared" si="25"/>
        <v>1.5994000000000002</v>
      </c>
      <c r="S124" s="1">
        <f t="shared" si="26"/>
        <v>5.9999999999993392E-4</v>
      </c>
      <c r="T124" s="1">
        <f t="shared" si="27"/>
        <v>3</v>
      </c>
      <c r="U124" s="1" t="str">
        <f t="shared" si="28"/>
        <v>Inestabilidad</v>
      </c>
    </row>
    <row r="125" spans="1:21" x14ac:dyDescent="0.2">
      <c r="A125" s="3" t="s">
        <v>137</v>
      </c>
      <c r="B125" s="1">
        <v>0.45879999999999999</v>
      </c>
      <c r="C125" s="1" t="s">
        <v>11</v>
      </c>
      <c r="D125" s="1">
        <v>0.7</v>
      </c>
      <c r="E125" s="4">
        <v>2024</v>
      </c>
      <c r="H125" s="1">
        <f t="shared" si="15"/>
        <v>0.77370000000000005</v>
      </c>
      <c r="I125" s="1">
        <f t="shared" si="16"/>
        <v>0.5737000000000001</v>
      </c>
      <c r="J125" s="1">
        <f t="shared" si="17"/>
        <v>0.37369999999999998</v>
      </c>
      <c r="K125" s="1">
        <f t="shared" si="18"/>
        <v>0.17370000000000002</v>
      </c>
      <c r="L125" s="1">
        <f t="shared" si="19"/>
        <v>2.629999999999999E-2</v>
      </c>
      <c r="M125" s="1">
        <f t="shared" si="20"/>
        <v>0.2263</v>
      </c>
      <c r="N125" s="1">
        <f t="shared" si="21"/>
        <v>0.42630000000000001</v>
      </c>
      <c r="O125" s="1">
        <f t="shared" si="22"/>
        <v>0.62630000000000008</v>
      </c>
      <c r="P125" s="1">
        <f t="shared" si="23"/>
        <v>0.82630000000000003</v>
      </c>
      <c r="Q125" s="1">
        <f t="shared" si="24"/>
        <v>1.0263</v>
      </c>
      <c r="R125" s="1">
        <f t="shared" si="25"/>
        <v>1.2262999999999999</v>
      </c>
      <c r="S125" s="1">
        <f t="shared" si="26"/>
        <v>2.629999999999999E-2</v>
      </c>
      <c r="T125" s="1">
        <f t="shared" si="27"/>
        <v>5</v>
      </c>
      <c r="U125" s="1" t="str">
        <f t="shared" si="28"/>
        <v>Indiferente</v>
      </c>
    </row>
    <row r="126" spans="1:21" x14ac:dyDescent="0.2">
      <c r="A126" s="3" t="s">
        <v>138</v>
      </c>
      <c r="B126" s="1">
        <v>0.59940000000000004</v>
      </c>
      <c r="C126" s="1" t="s">
        <v>5</v>
      </c>
      <c r="D126" s="1">
        <v>0.8</v>
      </c>
      <c r="E126" s="4">
        <v>2024</v>
      </c>
      <c r="H126" s="1">
        <f t="shared" si="15"/>
        <v>1.4588000000000001</v>
      </c>
      <c r="I126" s="1">
        <f t="shared" si="16"/>
        <v>1.2587999999999999</v>
      </c>
      <c r="J126" s="1">
        <f t="shared" si="17"/>
        <v>1.0588</v>
      </c>
      <c r="K126" s="1">
        <f t="shared" si="18"/>
        <v>0.85880000000000001</v>
      </c>
      <c r="L126" s="1">
        <f t="shared" si="19"/>
        <v>0.65880000000000005</v>
      </c>
      <c r="M126" s="1">
        <f t="shared" si="20"/>
        <v>0.45879999999999999</v>
      </c>
      <c r="N126" s="1">
        <f t="shared" si="21"/>
        <v>0.25879999999999997</v>
      </c>
      <c r="O126" s="1">
        <f t="shared" si="22"/>
        <v>5.8799999999999963E-2</v>
      </c>
      <c r="P126" s="1">
        <f t="shared" si="23"/>
        <v>0.14119999999999999</v>
      </c>
      <c r="Q126" s="1">
        <f t="shared" si="24"/>
        <v>0.34120000000000006</v>
      </c>
      <c r="R126" s="1">
        <f t="shared" si="25"/>
        <v>0.54120000000000001</v>
      </c>
      <c r="S126" s="1">
        <f t="shared" si="26"/>
        <v>5.8799999999999963E-2</v>
      </c>
      <c r="T126" s="1">
        <f t="shared" si="27"/>
        <v>8</v>
      </c>
      <c r="U126" s="1" t="str">
        <f t="shared" si="28"/>
        <v>Optimismo</v>
      </c>
    </row>
    <row r="127" spans="1:21" x14ac:dyDescent="0.2">
      <c r="A127" s="3" t="s">
        <v>139</v>
      </c>
      <c r="B127" s="1">
        <v>0.42149999999999999</v>
      </c>
      <c r="C127" s="1" t="s">
        <v>11</v>
      </c>
      <c r="D127" s="1">
        <v>0.7</v>
      </c>
      <c r="E127" s="4">
        <v>2024</v>
      </c>
      <c r="H127" s="1">
        <f t="shared" si="15"/>
        <v>1.5994000000000002</v>
      </c>
      <c r="I127" s="1">
        <f t="shared" si="16"/>
        <v>1.3994</v>
      </c>
      <c r="J127" s="1">
        <f t="shared" si="17"/>
        <v>1.1994</v>
      </c>
      <c r="K127" s="1">
        <f t="shared" si="18"/>
        <v>0.99940000000000007</v>
      </c>
      <c r="L127" s="1">
        <f t="shared" si="19"/>
        <v>0.79940000000000011</v>
      </c>
      <c r="M127" s="1">
        <f t="shared" si="20"/>
        <v>0.59940000000000004</v>
      </c>
      <c r="N127" s="1">
        <f t="shared" si="21"/>
        <v>0.39940000000000003</v>
      </c>
      <c r="O127" s="1">
        <f t="shared" si="22"/>
        <v>0.19940000000000002</v>
      </c>
      <c r="P127" s="1">
        <f t="shared" si="23"/>
        <v>5.9999999999993392E-4</v>
      </c>
      <c r="Q127" s="1">
        <f t="shared" si="24"/>
        <v>0.2006</v>
      </c>
      <c r="R127" s="1">
        <f t="shared" si="25"/>
        <v>0.40059999999999996</v>
      </c>
      <c r="S127" s="1">
        <f t="shared" si="26"/>
        <v>5.9999999999993392E-4</v>
      </c>
      <c r="T127" s="1">
        <f t="shared" si="27"/>
        <v>9</v>
      </c>
      <c r="U127" s="1" t="str">
        <f t="shared" si="28"/>
        <v xml:space="preserve">Convicción </v>
      </c>
    </row>
    <row r="128" spans="1:21" x14ac:dyDescent="0.2">
      <c r="A128" s="3" t="s">
        <v>140</v>
      </c>
      <c r="B128" s="1">
        <v>0.20230000000000001</v>
      </c>
      <c r="C128" s="1" t="s">
        <v>36</v>
      </c>
      <c r="D128" s="1">
        <v>0.6</v>
      </c>
      <c r="E128" s="4">
        <v>2024</v>
      </c>
      <c r="H128" s="1">
        <f t="shared" si="15"/>
        <v>1.4215</v>
      </c>
      <c r="I128" s="1">
        <f t="shared" si="16"/>
        <v>1.2215</v>
      </c>
      <c r="J128" s="1">
        <f t="shared" si="17"/>
        <v>1.0215000000000001</v>
      </c>
      <c r="K128" s="1">
        <f t="shared" si="18"/>
        <v>0.82150000000000001</v>
      </c>
      <c r="L128" s="1">
        <f t="shared" si="19"/>
        <v>0.62149999999999994</v>
      </c>
      <c r="M128" s="1">
        <f t="shared" si="20"/>
        <v>0.42149999999999999</v>
      </c>
      <c r="N128" s="1">
        <f t="shared" si="21"/>
        <v>0.22149999999999997</v>
      </c>
      <c r="O128" s="1">
        <f t="shared" si="22"/>
        <v>2.1499999999999964E-2</v>
      </c>
      <c r="P128" s="1">
        <f t="shared" si="23"/>
        <v>0.17849999999999999</v>
      </c>
      <c r="Q128" s="1">
        <f t="shared" si="24"/>
        <v>0.37850000000000006</v>
      </c>
      <c r="R128" s="1">
        <f t="shared" si="25"/>
        <v>0.57850000000000001</v>
      </c>
      <c r="S128" s="1">
        <f t="shared" si="26"/>
        <v>2.1499999999999964E-2</v>
      </c>
      <c r="T128" s="1">
        <f t="shared" si="27"/>
        <v>8</v>
      </c>
      <c r="U128" s="1" t="str">
        <f t="shared" si="28"/>
        <v>Optimismo</v>
      </c>
    </row>
    <row r="129" spans="1:21" x14ac:dyDescent="0.2">
      <c r="A129" s="3" t="s">
        <v>141</v>
      </c>
      <c r="B129" s="1">
        <v>0</v>
      </c>
      <c r="C129" s="1" t="s">
        <v>9</v>
      </c>
      <c r="D129" s="1">
        <v>0.5</v>
      </c>
      <c r="E129" s="4">
        <v>2024</v>
      </c>
      <c r="H129" s="1">
        <f t="shared" si="15"/>
        <v>1.2022999999999999</v>
      </c>
      <c r="I129" s="1">
        <f t="shared" si="16"/>
        <v>1.0023</v>
      </c>
      <c r="J129" s="1">
        <f t="shared" si="17"/>
        <v>0.80230000000000001</v>
      </c>
      <c r="K129" s="1">
        <f t="shared" si="18"/>
        <v>0.60230000000000006</v>
      </c>
      <c r="L129" s="1">
        <f t="shared" si="19"/>
        <v>0.40229999999999999</v>
      </c>
      <c r="M129" s="1">
        <f t="shared" si="20"/>
        <v>0.20230000000000001</v>
      </c>
      <c r="N129" s="1">
        <f t="shared" si="21"/>
        <v>2.2999999999999965E-3</v>
      </c>
      <c r="O129" s="1">
        <f t="shared" si="22"/>
        <v>0.19770000000000001</v>
      </c>
      <c r="P129" s="1">
        <f t="shared" si="23"/>
        <v>0.39769999999999994</v>
      </c>
      <c r="Q129" s="1">
        <f t="shared" si="24"/>
        <v>0.59770000000000001</v>
      </c>
      <c r="R129" s="1">
        <f t="shared" si="25"/>
        <v>0.79769999999999996</v>
      </c>
      <c r="S129" s="1">
        <f t="shared" si="26"/>
        <v>2.2999999999999965E-3</v>
      </c>
      <c r="T129" s="1">
        <f t="shared" si="27"/>
        <v>7</v>
      </c>
      <c r="U129" s="1" t="str">
        <f t="shared" si="28"/>
        <v>Favorable</v>
      </c>
    </row>
    <row r="130" spans="1:21" x14ac:dyDescent="0.2">
      <c r="A130" s="3" t="s">
        <v>142</v>
      </c>
      <c r="B130" s="1">
        <v>0</v>
      </c>
      <c r="C130" s="1" t="s">
        <v>9</v>
      </c>
      <c r="D130" s="1">
        <v>0.5</v>
      </c>
      <c r="E130" s="4">
        <v>2024</v>
      </c>
      <c r="H130" s="1">
        <f t="shared" si="15"/>
        <v>1</v>
      </c>
      <c r="I130" s="1">
        <f t="shared" si="16"/>
        <v>0.8</v>
      </c>
      <c r="J130" s="1">
        <f t="shared" si="17"/>
        <v>0.6</v>
      </c>
      <c r="K130" s="1">
        <f t="shared" si="18"/>
        <v>0.4</v>
      </c>
      <c r="L130" s="1">
        <f t="shared" si="19"/>
        <v>0.2</v>
      </c>
      <c r="M130" s="1">
        <f t="shared" si="20"/>
        <v>0</v>
      </c>
      <c r="N130" s="1">
        <f t="shared" si="21"/>
        <v>0.2</v>
      </c>
      <c r="O130" s="1">
        <f t="shared" si="22"/>
        <v>0.4</v>
      </c>
      <c r="P130" s="1">
        <f t="shared" si="23"/>
        <v>0.6</v>
      </c>
      <c r="Q130" s="1">
        <f t="shared" si="24"/>
        <v>0.8</v>
      </c>
      <c r="R130" s="1">
        <f t="shared" si="25"/>
        <v>1</v>
      </c>
      <c r="S130" s="1">
        <f t="shared" si="26"/>
        <v>0</v>
      </c>
      <c r="T130" s="1">
        <f t="shared" si="27"/>
        <v>6</v>
      </c>
      <c r="U130" s="1" t="str">
        <f t="shared" si="28"/>
        <v xml:space="preserve">Neutral </v>
      </c>
    </row>
    <row r="131" spans="1:21" x14ac:dyDescent="0.2">
      <c r="A131" s="3" t="s">
        <v>143</v>
      </c>
      <c r="B131" s="1">
        <v>-2.58E-2</v>
      </c>
      <c r="C131" s="1" t="s">
        <v>9</v>
      </c>
      <c r="D131" s="1">
        <v>0.5</v>
      </c>
      <c r="E131" s="4">
        <v>2024</v>
      </c>
      <c r="H131" s="1">
        <f t="shared" si="15"/>
        <v>1</v>
      </c>
      <c r="I131" s="1">
        <f t="shared" si="16"/>
        <v>0.8</v>
      </c>
      <c r="J131" s="1">
        <f t="shared" si="17"/>
        <v>0.6</v>
      </c>
      <c r="K131" s="1">
        <f t="shared" si="18"/>
        <v>0.4</v>
      </c>
      <c r="L131" s="1">
        <f t="shared" si="19"/>
        <v>0.2</v>
      </c>
      <c r="M131" s="1">
        <f t="shared" si="20"/>
        <v>0</v>
      </c>
      <c r="N131" s="1">
        <f t="shared" si="21"/>
        <v>0.2</v>
      </c>
      <c r="O131" s="1">
        <f t="shared" si="22"/>
        <v>0.4</v>
      </c>
      <c r="P131" s="1">
        <f t="shared" si="23"/>
        <v>0.6</v>
      </c>
      <c r="Q131" s="1">
        <f t="shared" si="24"/>
        <v>0.8</v>
      </c>
      <c r="R131" s="1">
        <f t="shared" si="25"/>
        <v>1</v>
      </c>
      <c r="S131" s="1">
        <f t="shared" si="26"/>
        <v>0</v>
      </c>
      <c r="T131" s="1">
        <f t="shared" si="27"/>
        <v>6</v>
      </c>
      <c r="U131" s="1" t="str">
        <f t="shared" si="28"/>
        <v xml:space="preserve">Neutral </v>
      </c>
    </row>
    <row r="132" spans="1:21" x14ac:dyDescent="0.2">
      <c r="A132" s="3" t="s">
        <v>144</v>
      </c>
      <c r="B132" s="1">
        <v>-0.17610000000000001</v>
      </c>
      <c r="C132" s="1" t="s">
        <v>25</v>
      </c>
      <c r="D132" s="1">
        <v>0.4</v>
      </c>
      <c r="E132" s="4">
        <v>2024</v>
      </c>
      <c r="H132" s="1">
        <f t="shared" si="15"/>
        <v>0.97419999999999995</v>
      </c>
      <c r="I132" s="1">
        <f t="shared" si="16"/>
        <v>0.7742</v>
      </c>
      <c r="J132" s="1">
        <f t="shared" si="17"/>
        <v>0.57419999999999993</v>
      </c>
      <c r="K132" s="1">
        <f t="shared" si="18"/>
        <v>0.37420000000000003</v>
      </c>
      <c r="L132" s="1">
        <f t="shared" si="19"/>
        <v>0.17420000000000002</v>
      </c>
      <c r="M132" s="1">
        <f t="shared" si="20"/>
        <v>2.58E-2</v>
      </c>
      <c r="N132" s="1">
        <f t="shared" si="21"/>
        <v>0.2258</v>
      </c>
      <c r="O132" s="1">
        <f t="shared" si="22"/>
        <v>0.42580000000000001</v>
      </c>
      <c r="P132" s="1">
        <f t="shared" si="23"/>
        <v>0.62580000000000002</v>
      </c>
      <c r="Q132" s="1">
        <f t="shared" si="24"/>
        <v>0.82580000000000009</v>
      </c>
      <c r="R132" s="1">
        <f t="shared" si="25"/>
        <v>1.0258</v>
      </c>
      <c r="S132" s="1">
        <f t="shared" si="26"/>
        <v>2.58E-2</v>
      </c>
      <c r="T132" s="1">
        <f t="shared" si="27"/>
        <v>6</v>
      </c>
      <c r="U132" s="1" t="str">
        <f t="shared" si="28"/>
        <v xml:space="preserve">Neutral </v>
      </c>
    </row>
    <row r="133" spans="1:21" x14ac:dyDescent="0.2">
      <c r="A133" s="3" t="s">
        <v>145</v>
      </c>
      <c r="B133" s="1">
        <v>-0.42149999999999999</v>
      </c>
      <c r="C133" s="1" t="s">
        <v>23</v>
      </c>
      <c r="D133" s="1">
        <v>0.3</v>
      </c>
      <c r="E133" s="4">
        <v>2024</v>
      </c>
      <c r="H133" s="1">
        <f t="shared" ref="H133:H135" si="29">+ABS(H$2-$B132)</f>
        <v>0.82389999999999997</v>
      </c>
      <c r="I133" s="1">
        <f t="shared" ref="I133:I135" si="30">+ABS(I$2-$B132)</f>
        <v>0.62390000000000001</v>
      </c>
      <c r="J133" s="1">
        <f t="shared" ref="J133:J135" si="31">+ABS(J$2-$B132)</f>
        <v>0.42389999999999994</v>
      </c>
      <c r="K133" s="1">
        <f t="shared" ref="K133:K135" si="32">+ABS(K$2-$B132)</f>
        <v>0.22390000000000002</v>
      </c>
      <c r="L133" s="1">
        <f t="shared" ref="L133:L135" si="33">+ABS(L$2-$B132)</f>
        <v>2.3900000000000005E-2</v>
      </c>
      <c r="M133" s="1">
        <f t="shared" ref="M133:M135" si="34">+ABS(M$2-$B132)</f>
        <v>0.17610000000000001</v>
      </c>
      <c r="N133" s="1">
        <f t="shared" ref="N133:N135" si="35">+ABS(N$2-$B132)</f>
        <v>0.37609999999999999</v>
      </c>
      <c r="O133" s="1">
        <f t="shared" ref="O133:O135" si="36">+ABS(O$2-$B132)</f>
        <v>0.57610000000000006</v>
      </c>
      <c r="P133" s="1">
        <f t="shared" ref="P133:P135" si="37">+ABS(P$2-$B132)</f>
        <v>0.77610000000000001</v>
      </c>
      <c r="Q133" s="1">
        <f t="shared" ref="Q133:Q135" si="38">+ABS(Q$2-$B132)</f>
        <v>0.97610000000000008</v>
      </c>
      <c r="R133" s="1">
        <f t="shared" ref="R133:R135" si="39">+ABS(R$2-$B132)</f>
        <v>1.1760999999999999</v>
      </c>
      <c r="S133" s="1">
        <f t="shared" ref="S133:S135" si="40">+MIN(H133:R133)</f>
        <v>2.3900000000000005E-2</v>
      </c>
      <c r="T133" s="1">
        <f t="shared" ref="T133:T135" si="41">+MATCH(S133,H133:R133,0)</f>
        <v>5</v>
      </c>
      <c r="U133" s="1" t="str">
        <f t="shared" ref="U133:U135" si="42">+VLOOKUP(T133,$V$6:$W$16,2)</f>
        <v>Indiferente</v>
      </c>
    </row>
    <row r="134" spans="1:21" x14ac:dyDescent="0.2">
      <c r="A134" s="3" t="s">
        <v>146</v>
      </c>
      <c r="B134" s="1">
        <v>0.62490000000000001</v>
      </c>
      <c r="C134" s="1" t="s">
        <v>5</v>
      </c>
      <c r="D134" s="1">
        <v>0.8</v>
      </c>
      <c r="E134" s="4">
        <v>2024</v>
      </c>
      <c r="H134" s="1">
        <f t="shared" si="29"/>
        <v>0.57850000000000001</v>
      </c>
      <c r="I134" s="1">
        <f t="shared" si="30"/>
        <v>0.37850000000000006</v>
      </c>
      <c r="J134" s="1">
        <f t="shared" si="31"/>
        <v>0.17849999999999999</v>
      </c>
      <c r="K134" s="1">
        <f t="shared" si="32"/>
        <v>2.1499999999999964E-2</v>
      </c>
      <c r="L134" s="1">
        <f t="shared" si="33"/>
        <v>0.22149999999999997</v>
      </c>
      <c r="M134" s="1">
        <f t="shared" si="34"/>
        <v>0.42149999999999999</v>
      </c>
      <c r="N134" s="1">
        <f t="shared" si="35"/>
        <v>0.62149999999999994</v>
      </c>
      <c r="O134" s="1">
        <f t="shared" si="36"/>
        <v>0.82150000000000001</v>
      </c>
      <c r="P134" s="1">
        <f t="shared" si="37"/>
        <v>1.0215000000000001</v>
      </c>
      <c r="Q134" s="1">
        <f t="shared" si="38"/>
        <v>1.2215</v>
      </c>
      <c r="R134" s="1">
        <f t="shared" si="39"/>
        <v>1.4215</v>
      </c>
      <c r="S134" s="1">
        <f t="shared" si="40"/>
        <v>2.1499999999999964E-2</v>
      </c>
      <c r="T134" s="1">
        <f t="shared" si="41"/>
        <v>4</v>
      </c>
      <c r="U134" s="1" t="str">
        <f t="shared" si="42"/>
        <v>Escepticismo</v>
      </c>
    </row>
    <row r="135" spans="1:21" x14ac:dyDescent="0.2">
      <c r="A135" s="5" t="s">
        <v>147</v>
      </c>
      <c r="B135" s="6">
        <v>0</v>
      </c>
      <c r="C135" s="6" t="s">
        <v>9</v>
      </c>
      <c r="D135" s="6">
        <v>0.5</v>
      </c>
      <c r="E135" s="7">
        <v>2024</v>
      </c>
      <c r="H135" s="1">
        <f t="shared" si="29"/>
        <v>1.6249</v>
      </c>
      <c r="I135" s="1">
        <f t="shared" si="30"/>
        <v>1.4249000000000001</v>
      </c>
      <c r="J135" s="1">
        <f t="shared" si="31"/>
        <v>1.2248999999999999</v>
      </c>
      <c r="K135" s="1">
        <f t="shared" si="32"/>
        <v>1.0249000000000001</v>
      </c>
      <c r="L135" s="1">
        <f t="shared" si="33"/>
        <v>0.82489999999999997</v>
      </c>
      <c r="M135" s="1">
        <f t="shared" si="34"/>
        <v>0.62490000000000001</v>
      </c>
      <c r="N135" s="1">
        <f t="shared" si="35"/>
        <v>0.4249</v>
      </c>
      <c r="O135" s="1">
        <f t="shared" si="36"/>
        <v>0.22489999999999999</v>
      </c>
      <c r="P135" s="1">
        <f t="shared" si="37"/>
        <v>2.4900000000000033E-2</v>
      </c>
      <c r="Q135" s="1">
        <f t="shared" si="38"/>
        <v>0.17510000000000003</v>
      </c>
      <c r="R135" s="1">
        <f t="shared" si="39"/>
        <v>0.37509999999999999</v>
      </c>
      <c r="S135" s="1">
        <f t="shared" si="40"/>
        <v>2.4900000000000033E-2</v>
      </c>
      <c r="T135" s="1">
        <f t="shared" si="41"/>
        <v>9</v>
      </c>
      <c r="U135" s="1" t="str">
        <f t="shared" si="42"/>
        <v xml:space="preserve">Convicción </v>
      </c>
    </row>
    <row r="136" spans="1:21" x14ac:dyDescent="0.2">
      <c r="A136" s="1"/>
      <c r="B136" s="1"/>
      <c r="C136" s="1"/>
      <c r="D136" s="1"/>
      <c r="E136" s="1"/>
    </row>
    <row r="137" spans="1:21" x14ac:dyDescent="0.2">
      <c r="A137" s="1"/>
      <c r="B137" s="1"/>
      <c r="C137" s="1"/>
      <c r="D137" s="1"/>
      <c r="E137" s="1"/>
    </row>
  </sheetData>
  <autoFilter ref="A1:E135" xr:uid="{8F46080B-E6D7-CD4B-A9E4-C25E3EA88A0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074A-6AA2-F845-BD74-033226351039}">
  <dimension ref="A1:E60"/>
  <sheetViews>
    <sheetView workbookViewId="0">
      <selection activeCell="G14" sqref="G14"/>
    </sheetView>
  </sheetViews>
  <sheetFormatPr baseColWidth="10" defaultRowHeight="16" x14ac:dyDescent="0.2"/>
  <cols>
    <col min="1" max="1" width="21.5" customWidth="1"/>
  </cols>
  <sheetData>
    <row r="1" spans="1:5" x14ac:dyDescent="0.2">
      <c r="A1" s="2" t="s">
        <v>0</v>
      </c>
      <c r="B1" s="2" t="s">
        <v>1</v>
      </c>
      <c r="C1" s="2" t="s">
        <v>2</v>
      </c>
      <c r="D1" s="2" t="s">
        <v>148</v>
      </c>
      <c r="E1" s="2" t="s">
        <v>3</v>
      </c>
    </row>
    <row r="2" spans="1:5" x14ac:dyDescent="0.2">
      <c r="A2" s="3" t="s">
        <v>4</v>
      </c>
      <c r="B2" s="1">
        <v>0.68079999999999996</v>
      </c>
      <c r="C2" s="1" t="s">
        <v>5</v>
      </c>
      <c r="D2" s="1">
        <v>0.8</v>
      </c>
      <c r="E2" s="4">
        <v>2021</v>
      </c>
    </row>
    <row r="3" spans="1:5" x14ac:dyDescent="0.2">
      <c r="A3" s="3" t="s">
        <v>6</v>
      </c>
      <c r="B3" s="1">
        <v>0.58589999999999998</v>
      </c>
      <c r="C3" s="1" t="s">
        <v>5</v>
      </c>
      <c r="D3" s="1">
        <v>0.8</v>
      </c>
      <c r="E3" s="4">
        <v>2021</v>
      </c>
    </row>
    <row r="4" spans="1:5" x14ac:dyDescent="0.2">
      <c r="A4" s="3" t="s">
        <v>7</v>
      </c>
      <c r="B4" s="1">
        <v>0.67049999999999998</v>
      </c>
      <c r="C4" s="1" t="s">
        <v>5</v>
      </c>
      <c r="D4" s="1">
        <v>0.8</v>
      </c>
      <c r="E4" s="4">
        <v>2021</v>
      </c>
    </row>
    <row r="5" spans="1:5" x14ac:dyDescent="0.2">
      <c r="A5" s="3" t="s">
        <v>8</v>
      </c>
      <c r="B5" s="1">
        <v>0</v>
      </c>
      <c r="C5" s="1" t="s">
        <v>9</v>
      </c>
      <c r="D5" s="1">
        <v>0.5</v>
      </c>
      <c r="E5" s="4">
        <v>2021</v>
      </c>
    </row>
    <row r="6" spans="1:5" x14ac:dyDescent="0.2">
      <c r="A6" s="3" t="s">
        <v>10</v>
      </c>
      <c r="B6" s="1">
        <v>0.42149999999999999</v>
      </c>
      <c r="C6" s="1" t="s">
        <v>11</v>
      </c>
      <c r="D6" s="1">
        <v>0.7</v>
      </c>
      <c r="E6" s="4">
        <v>2021</v>
      </c>
    </row>
    <row r="7" spans="1:5" x14ac:dyDescent="0.2">
      <c r="A7" s="3" t="s">
        <v>12</v>
      </c>
      <c r="B7" s="1">
        <v>0.52669999999999995</v>
      </c>
      <c r="C7" s="1" t="s">
        <v>5</v>
      </c>
      <c r="D7" s="1">
        <v>0.8</v>
      </c>
      <c r="E7" s="4">
        <v>2021</v>
      </c>
    </row>
    <row r="8" spans="1:5" x14ac:dyDescent="0.2">
      <c r="A8" s="3" t="s">
        <v>13</v>
      </c>
      <c r="B8" s="1">
        <v>0</v>
      </c>
      <c r="C8" s="1" t="s">
        <v>9</v>
      </c>
      <c r="D8" s="1">
        <v>0.5</v>
      </c>
      <c r="E8" s="4">
        <v>2021</v>
      </c>
    </row>
    <row r="9" spans="1:5" x14ac:dyDescent="0.2">
      <c r="A9" s="3" t="s">
        <v>14</v>
      </c>
      <c r="B9" s="1">
        <v>0</v>
      </c>
      <c r="C9" s="1" t="s">
        <v>9</v>
      </c>
      <c r="D9" s="1">
        <v>0.5</v>
      </c>
      <c r="E9" s="4">
        <v>2021</v>
      </c>
    </row>
    <row r="10" spans="1:5" x14ac:dyDescent="0.2">
      <c r="A10" s="3" t="s">
        <v>15</v>
      </c>
      <c r="B10" s="1">
        <v>0.38179999999999997</v>
      </c>
      <c r="C10" s="1" t="s">
        <v>11</v>
      </c>
      <c r="D10" s="1">
        <v>0.7</v>
      </c>
      <c r="E10" s="4">
        <v>2021</v>
      </c>
    </row>
    <row r="11" spans="1:5" x14ac:dyDescent="0.2">
      <c r="A11" s="3" t="s">
        <v>16</v>
      </c>
      <c r="B11" s="1">
        <v>0</v>
      </c>
      <c r="C11" s="1" t="s">
        <v>9</v>
      </c>
      <c r="D11" s="1">
        <v>0.5</v>
      </c>
      <c r="E11" s="4">
        <v>2021</v>
      </c>
    </row>
    <row r="12" spans="1:5" x14ac:dyDescent="0.2">
      <c r="A12" s="3" t="s">
        <v>17</v>
      </c>
      <c r="B12" s="1">
        <v>0.72689999999999999</v>
      </c>
      <c r="C12" s="1" t="s">
        <v>18</v>
      </c>
      <c r="D12" s="1">
        <v>0.9</v>
      </c>
      <c r="E12" s="4">
        <v>2021</v>
      </c>
    </row>
    <row r="13" spans="1:5" x14ac:dyDescent="0.2">
      <c r="A13" s="3" t="s">
        <v>19</v>
      </c>
      <c r="B13" s="1">
        <v>0</v>
      </c>
      <c r="C13" s="1" t="s">
        <v>9</v>
      </c>
      <c r="D13" s="1">
        <v>0.5</v>
      </c>
      <c r="E13" s="4">
        <v>2021</v>
      </c>
    </row>
    <row r="14" spans="1:5" x14ac:dyDescent="0.2">
      <c r="A14" s="3" t="s">
        <v>20</v>
      </c>
      <c r="B14" s="1">
        <v>0.77170000000000005</v>
      </c>
      <c r="C14" s="1" t="s">
        <v>18</v>
      </c>
      <c r="D14" s="1">
        <v>0.9</v>
      </c>
      <c r="E14" s="4">
        <v>2021</v>
      </c>
    </row>
    <row r="15" spans="1:5" x14ac:dyDescent="0.2">
      <c r="A15" s="3" t="s">
        <v>21</v>
      </c>
      <c r="B15" s="1">
        <v>0.38179999999999997</v>
      </c>
      <c r="C15" s="1" t="s">
        <v>11</v>
      </c>
      <c r="D15" s="1">
        <v>0.7</v>
      </c>
      <c r="E15" s="4">
        <v>2021</v>
      </c>
    </row>
    <row r="16" spans="1:5" x14ac:dyDescent="0.2">
      <c r="A16" s="3" t="s">
        <v>22</v>
      </c>
      <c r="B16" s="1">
        <v>-0.36120000000000002</v>
      </c>
      <c r="C16" s="1" t="s">
        <v>23</v>
      </c>
      <c r="D16" s="1">
        <v>0.3</v>
      </c>
      <c r="E16" s="4">
        <v>2021</v>
      </c>
    </row>
    <row r="17" spans="1:5" x14ac:dyDescent="0.2">
      <c r="A17" s="3" t="s">
        <v>24</v>
      </c>
      <c r="B17" s="1">
        <v>-0.128</v>
      </c>
      <c r="C17" s="1" t="s">
        <v>25</v>
      </c>
      <c r="D17" s="1">
        <v>0.4</v>
      </c>
      <c r="E17" s="4">
        <v>2021</v>
      </c>
    </row>
    <row r="18" spans="1:5" x14ac:dyDescent="0.2">
      <c r="A18" s="3" t="s">
        <v>26</v>
      </c>
      <c r="B18" s="1">
        <v>0</v>
      </c>
      <c r="C18" s="1" t="s">
        <v>9</v>
      </c>
      <c r="D18" s="1">
        <v>0.5</v>
      </c>
      <c r="E18" s="4">
        <v>2021</v>
      </c>
    </row>
    <row r="19" spans="1:5" x14ac:dyDescent="0.2">
      <c r="A19" s="3" t="s">
        <v>27</v>
      </c>
      <c r="B19" s="1">
        <v>0.38179999999999997</v>
      </c>
      <c r="C19" s="1" t="s">
        <v>11</v>
      </c>
      <c r="D19" s="1">
        <v>0.7</v>
      </c>
      <c r="E19" s="4">
        <v>2021</v>
      </c>
    </row>
    <row r="20" spans="1:5" x14ac:dyDescent="0.2">
      <c r="A20" s="3" t="s">
        <v>28</v>
      </c>
      <c r="B20" s="1">
        <v>0</v>
      </c>
      <c r="C20" s="1" t="s">
        <v>9</v>
      </c>
      <c r="D20" s="1">
        <v>0.5</v>
      </c>
      <c r="E20" s="4">
        <v>2021</v>
      </c>
    </row>
    <row r="21" spans="1:5" x14ac:dyDescent="0.2">
      <c r="A21" s="3" t="s">
        <v>29</v>
      </c>
      <c r="B21" s="1">
        <v>0</v>
      </c>
      <c r="C21" s="1" t="s">
        <v>9</v>
      </c>
      <c r="D21" s="1">
        <v>0.5</v>
      </c>
      <c r="E21" s="4">
        <v>2021</v>
      </c>
    </row>
    <row r="22" spans="1:5" x14ac:dyDescent="0.2">
      <c r="A22" s="3" t="s">
        <v>30</v>
      </c>
      <c r="B22" s="1">
        <v>-0.15310000000000001</v>
      </c>
      <c r="C22" s="1" t="s">
        <v>25</v>
      </c>
      <c r="D22" s="1">
        <v>0.4</v>
      </c>
      <c r="E22" s="4">
        <v>2021</v>
      </c>
    </row>
    <row r="23" spans="1:5" x14ac:dyDescent="0.2">
      <c r="A23" s="3" t="s">
        <v>31</v>
      </c>
      <c r="B23" s="1">
        <v>-0.29599999999999999</v>
      </c>
      <c r="C23" s="1" t="s">
        <v>25</v>
      </c>
      <c r="D23" s="1">
        <v>0.4</v>
      </c>
      <c r="E23" s="4">
        <v>2021</v>
      </c>
    </row>
    <row r="24" spans="1:5" x14ac:dyDescent="0.2">
      <c r="A24" s="3" t="s">
        <v>32</v>
      </c>
      <c r="B24" s="1">
        <v>0.36120000000000002</v>
      </c>
      <c r="C24" s="1" t="s">
        <v>11</v>
      </c>
      <c r="D24" s="1">
        <v>0.7</v>
      </c>
      <c r="E24" s="4">
        <v>2021</v>
      </c>
    </row>
    <row r="25" spans="1:5" x14ac:dyDescent="0.2">
      <c r="A25" s="3" t="s">
        <v>33</v>
      </c>
      <c r="B25" s="1">
        <v>0</v>
      </c>
      <c r="C25" s="1" t="s">
        <v>9</v>
      </c>
      <c r="D25" s="1">
        <v>0.5</v>
      </c>
      <c r="E25" s="4">
        <v>2021</v>
      </c>
    </row>
    <row r="26" spans="1:5" x14ac:dyDescent="0.2">
      <c r="A26" s="3" t="s">
        <v>34</v>
      </c>
      <c r="B26" s="1">
        <v>0</v>
      </c>
      <c r="C26" s="1" t="s">
        <v>9</v>
      </c>
      <c r="D26" s="1">
        <v>0.5</v>
      </c>
      <c r="E26" s="4">
        <v>2021</v>
      </c>
    </row>
    <row r="27" spans="1:5" x14ac:dyDescent="0.2">
      <c r="A27" s="3" t="s">
        <v>35</v>
      </c>
      <c r="B27" s="1">
        <v>0.128</v>
      </c>
      <c r="C27" s="1" t="s">
        <v>36</v>
      </c>
      <c r="D27" s="1">
        <v>0.6</v>
      </c>
      <c r="E27" s="4">
        <v>2021</v>
      </c>
    </row>
    <row r="28" spans="1:5" x14ac:dyDescent="0.2">
      <c r="A28" s="3" t="s">
        <v>37</v>
      </c>
      <c r="B28" s="1">
        <v>-0.47670000000000001</v>
      </c>
      <c r="C28" s="1" t="s">
        <v>23</v>
      </c>
      <c r="D28" s="1">
        <v>0.3</v>
      </c>
      <c r="E28" s="4">
        <v>2021</v>
      </c>
    </row>
    <row r="29" spans="1:5" x14ac:dyDescent="0.2">
      <c r="A29" s="3" t="s">
        <v>38</v>
      </c>
      <c r="B29" s="1">
        <v>0</v>
      </c>
      <c r="C29" s="1" t="s">
        <v>9</v>
      </c>
      <c r="D29" s="1">
        <v>0.5</v>
      </c>
      <c r="E29" s="4">
        <v>2021</v>
      </c>
    </row>
    <row r="30" spans="1:5" x14ac:dyDescent="0.2">
      <c r="A30" s="3" t="s">
        <v>39</v>
      </c>
      <c r="B30" s="1">
        <v>-0.1779</v>
      </c>
      <c r="C30" s="1" t="s">
        <v>25</v>
      </c>
      <c r="D30" s="1">
        <v>0.4</v>
      </c>
      <c r="E30" s="4">
        <v>2021</v>
      </c>
    </row>
    <row r="31" spans="1:5" x14ac:dyDescent="0.2">
      <c r="A31" s="3" t="s">
        <v>40</v>
      </c>
      <c r="B31" s="1">
        <v>4.2799999999999998E-2</v>
      </c>
      <c r="C31" s="1" t="s">
        <v>9</v>
      </c>
      <c r="D31" s="1">
        <v>0.5</v>
      </c>
      <c r="E31" s="4">
        <v>2021</v>
      </c>
    </row>
    <row r="32" spans="1:5" x14ac:dyDescent="0.2">
      <c r="A32" s="3" t="s">
        <v>41</v>
      </c>
      <c r="B32" s="1">
        <v>0.94130000000000003</v>
      </c>
      <c r="C32" s="1" t="s">
        <v>42</v>
      </c>
      <c r="D32" s="1">
        <v>1</v>
      </c>
      <c r="E32" s="4">
        <v>2021</v>
      </c>
    </row>
    <row r="33" spans="1:5" x14ac:dyDescent="0.2">
      <c r="A33" s="3" t="s">
        <v>43</v>
      </c>
      <c r="B33" s="1">
        <v>0.38179999999999997</v>
      </c>
      <c r="C33" s="1" t="s">
        <v>11</v>
      </c>
      <c r="D33" s="1">
        <v>0.7</v>
      </c>
      <c r="E33" s="4">
        <v>2021</v>
      </c>
    </row>
    <row r="34" spans="1:5" x14ac:dyDescent="0.2">
      <c r="A34" s="3" t="s">
        <v>44</v>
      </c>
      <c r="B34" s="1">
        <v>0</v>
      </c>
      <c r="C34" s="1" t="s">
        <v>9</v>
      </c>
      <c r="D34" s="1">
        <v>0.5</v>
      </c>
      <c r="E34" s="4">
        <v>2021</v>
      </c>
    </row>
    <row r="35" spans="1:5" x14ac:dyDescent="0.2">
      <c r="A35" s="3" t="s">
        <v>45</v>
      </c>
      <c r="B35" s="1">
        <v>-0.5423</v>
      </c>
      <c r="C35" s="1" t="s">
        <v>46</v>
      </c>
      <c r="D35" s="1">
        <v>0.2</v>
      </c>
      <c r="E35" s="4">
        <v>2021</v>
      </c>
    </row>
    <row r="36" spans="1:5" x14ac:dyDescent="0.2">
      <c r="A36" s="3" t="s">
        <v>47</v>
      </c>
      <c r="B36" s="1">
        <v>0.1027</v>
      </c>
      <c r="C36" s="1" t="s">
        <v>36</v>
      </c>
      <c r="D36" s="1">
        <v>0.6</v>
      </c>
      <c r="E36" s="4">
        <v>2021</v>
      </c>
    </row>
    <row r="37" spans="1:5" x14ac:dyDescent="0.2">
      <c r="A37" s="3" t="s">
        <v>48</v>
      </c>
      <c r="B37" s="1">
        <v>0.69079999999999997</v>
      </c>
      <c r="C37" s="1" t="s">
        <v>5</v>
      </c>
      <c r="D37" s="1">
        <v>0.8</v>
      </c>
      <c r="E37" s="4">
        <v>2021</v>
      </c>
    </row>
    <row r="38" spans="1:5" x14ac:dyDescent="0.2">
      <c r="A38" s="3" t="s">
        <v>49</v>
      </c>
      <c r="B38" s="1">
        <v>0.38179999999999997</v>
      </c>
      <c r="C38" s="1" t="s">
        <v>11</v>
      </c>
      <c r="D38" s="1">
        <v>0.7</v>
      </c>
      <c r="E38" s="4">
        <v>2021</v>
      </c>
    </row>
    <row r="39" spans="1:5" x14ac:dyDescent="0.2">
      <c r="A39" s="3" t="s">
        <v>50</v>
      </c>
      <c r="B39" s="1">
        <v>0</v>
      </c>
      <c r="C39" s="1" t="s">
        <v>9</v>
      </c>
      <c r="D39" s="1">
        <v>0.5</v>
      </c>
      <c r="E39" s="4">
        <v>2021</v>
      </c>
    </row>
    <row r="40" spans="1:5" x14ac:dyDescent="0.2">
      <c r="A40" s="3" t="s">
        <v>51</v>
      </c>
      <c r="B40" s="1">
        <v>0</v>
      </c>
      <c r="C40" s="1" t="s">
        <v>9</v>
      </c>
      <c r="D40" s="1">
        <v>0.5</v>
      </c>
      <c r="E40" s="4">
        <v>2021</v>
      </c>
    </row>
    <row r="41" spans="1:5" x14ac:dyDescent="0.2">
      <c r="A41" s="3" t="s">
        <v>52</v>
      </c>
      <c r="B41" s="1">
        <v>-0.2263</v>
      </c>
      <c r="C41" s="1" t="s">
        <v>25</v>
      </c>
      <c r="D41" s="1">
        <v>0.4</v>
      </c>
      <c r="E41" s="4">
        <v>2021</v>
      </c>
    </row>
    <row r="42" spans="1:5" x14ac:dyDescent="0.2">
      <c r="A42" s="3" t="s">
        <v>53</v>
      </c>
      <c r="B42" s="1">
        <v>-0.44040000000000001</v>
      </c>
      <c r="C42" s="1" t="s">
        <v>23</v>
      </c>
      <c r="D42" s="1">
        <v>0.3</v>
      </c>
      <c r="E42" s="4">
        <v>2021</v>
      </c>
    </row>
    <row r="43" spans="1:5" x14ac:dyDescent="0.2">
      <c r="A43" s="3" t="s">
        <v>54</v>
      </c>
      <c r="B43" s="1">
        <v>0.34</v>
      </c>
      <c r="C43" s="1" t="s">
        <v>11</v>
      </c>
      <c r="D43" s="1">
        <v>0.7</v>
      </c>
      <c r="E43" s="4">
        <v>2021</v>
      </c>
    </row>
    <row r="44" spans="1:5" x14ac:dyDescent="0.2">
      <c r="A44" s="3" t="s">
        <v>55</v>
      </c>
      <c r="B44" s="1">
        <v>-0.40189999999999998</v>
      </c>
      <c r="C44" s="1" t="s">
        <v>23</v>
      </c>
      <c r="D44" s="1">
        <v>0.3</v>
      </c>
      <c r="E44" s="4">
        <v>2021</v>
      </c>
    </row>
    <row r="45" spans="1:5" x14ac:dyDescent="0.2">
      <c r="A45" s="3" t="s">
        <v>56</v>
      </c>
      <c r="B45" s="1">
        <v>0.15129999999999999</v>
      </c>
      <c r="C45" s="1" t="s">
        <v>36</v>
      </c>
      <c r="D45" s="1">
        <v>0.6</v>
      </c>
      <c r="E45" s="4">
        <v>2021</v>
      </c>
    </row>
    <row r="46" spans="1:5" x14ac:dyDescent="0.2">
      <c r="A46" s="3" t="s">
        <v>57</v>
      </c>
      <c r="B46" s="1">
        <v>-0.31819999999999998</v>
      </c>
      <c r="C46" s="1" t="s">
        <v>23</v>
      </c>
      <c r="D46" s="1">
        <v>0.3</v>
      </c>
      <c r="E46" s="4">
        <v>2021</v>
      </c>
    </row>
    <row r="47" spans="1:5" x14ac:dyDescent="0.2">
      <c r="A47" s="3" t="s">
        <v>58</v>
      </c>
      <c r="B47" s="1">
        <v>0</v>
      </c>
      <c r="C47" s="1" t="s">
        <v>9</v>
      </c>
      <c r="D47" s="1">
        <v>0.5</v>
      </c>
      <c r="E47" s="4">
        <v>2021</v>
      </c>
    </row>
    <row r="48" spans="1:5" x14ac:dyDescent="0.2">
      <c r="A48" s="3" t="s">
        <v>59</v>
      </c>
      <c r="B48" s="1">
        <v>0.36120000000000002</v>
      </c>
      <c r="C48" s="1" t="s">
        <v>11</v>
      </c>
      <c r="D48" s="1">
        <v>0.7</v>
      </c>
      <c r="E48" s="4">
        <v>2021</v>
      </c>
    </row>
    <row r="49" spans="1:5" x14ac:dyDescent="0.2">
      <c r="A49" s="3" t="s">
        <v>60</v>
      </c>
      <c r="B49" s="1">
        <v>0.20230000000000001</v>
      </c>
      <c r="C49" s="1" t="s">
        <v>36</v>
      </c>
      <c r="D49" s="1">
        <v>0.6</v>
      </c>
      <c r="E49" s="4">
        <v>2021</v>
      </c>
    </row>
    <row r="50" spans="1:5" x14ac:dyDescent="0.2">
      <c r="A50" s="3" t="s">
        <v>61</v>
      </c>
      <c r="B50" s="1">
        <v>0</v>
      </c>
      <c r="C50" s="1" t="s">
        <v>9</v>
      </c>
      <c r="D50" s="1">
        <v>0.5</v>
      </c>
      <c r="E50" s="4">
        <v>2021</v>
      </c>
    </row>
    <row r="51" spans="1:5" x14ac:dyDescent="0.2">
      <c r="A51" s="3" t="s">
        <v>62</v>
      </c>
      <c r="B51" s="1">
        <v>0.85550000000000004</v>
      </c>
      <c r="C51" s="1" t="s">
        <v>18</v>
      </c>
      <c r="D51" s="1">
        <v>0.9</v>
      </c>
      <c r="E51" s="4">
        <v>2021</v>
      </c>
    </row>
    <row r="52" spans="1:5" x14ac:dyDescent="0.2">
      <c r="A52" s="3" t="s">
        <v>63</v>
      </c>
      <c r="B52" s="1">
        <v>0.39190000000000003</v>
      </c>
      <c r="C52" s="1" t="s">
        <v>11</v>
      </c>
      <c r="D52" s="1">
        <v>0.7</v>
      </c>
      <c r="E52" s="4">
        <v>2021</v>
      </c>
    </row>
    <row r="53" spans="1:5" x14ac:dyDescent="0.2">
      <c r="A53" s="3" t="s">
        <v>64</v>
      </c>
      <c r="B53" s="1">
        <v>0.36120000000000002</v>
      </c>
      <c r="C53" s="1" t="s">
        <v>11</v>
      </c>
      <c r="D53" s="1">
        <v>0.7</v>
      </c>
      <c r="E53" s="4">
        <v>2021</v>
      </c>
    </row>
    <row r="54" spans="1:5" x14ac:dyDescent="0.2">
      <c r="A54" s="3" t="s">
        <v>65</v>
      </c>
      <c r="B54" s="1">
        <v>0.40189999999999998</v>
      </c>
      <c r="C54" s="1" t="s">
        <v>11</v>
      </c>
      <c r="D54" s="1">
        <v>0.7</v>
      </c>
      <c r="E54" s="4">
        <v>2021</v>
      </c>
    </row>
    <row r="55" spans="1:5" x14ac:dyDescent="0.2">
      <c r="A55" s="3" t="s">
        <v>66</v>
      </c>
      <c r="B55" s="1">
        <v>0.86580000000000001</v>
      </c>
      <c r="C55" s="1" t="s">
        <v>18</v>
      </c>
      <c r="D55" s="1">
        <v>0.9</v>
      </c>
      <c r="E55" s="4">
        <v>2021</v>
      </c>
    </row>
    <row r="56" spans="1:5" x14ac:dyDescent="0.2">
      <c r="A56" s="3" t="s">
        <v>67</v>
      </c>
      <c r="B56" s="1">
        <v>0.85550000000000004</v>
      </c>
      <c r="C56" s="1" t="s">
        <v>18</v>
      </c>
      <c r="D56" s="1">
        <v>0.9</v>
      </c>
      <c r="E56" s="4">
        <v>2021</v>
      </c>
    </row>
    <row r="57" spans="1:5" x14ac:dyDescent="0.2">
      <c r="A57" s="3" t="s">
        <v>68</v>
      </c>
      <c r="B57" s="1">
        <v>0.77829999999999999</v>
      </c>
      <c r="C57" s="1" t="s">
        <v>18</v>
      </c>
      <c r="D57" s="1">
        <v>0.9</v>
      </c>
      <c r="E57" s="4">
        <v>2021</v>
      </c>
    </row>
    <row r="58" spans="1:5" x14ac:dyDescent="0.2">
      <c r="A58" s="3" t="s">
        <v>69</v>
      </c>
      <c r="B58" s="1">
        <v>0.2263</v>
      </c>
      <c r="C58" s="1" t="s">
        <v>36</v>
      </c>
      <c r="D58" s="1">
        <v>0.6</v>
      </c>
      <c r="E58" s="4">
        <v>2021</v>
      </c>
    </row>
    <row r="59" spans="1:5" x14ac:dyDescent="0.2">
      <c r="A59" s="3" t="s">
        <v>70</v>
      </c>
      <c r="B59" s="1">
        <v>0.2732</v>
      </c>
      <c r="C59" s="1" t="s">
        <v>36</v>
      </c>
      <c r="D59" s="1">
        <v>0.6</v>
      </c>
      <c r="E59" s="4">
        <v>2021</v>
      </c>
    </row>
    <row r="60" spans="1:5" x14ac:dyDescent="0.2">
      <c r="A60" s="3" t="s">
        <v>71</v>
      </c>
      <c r="B60" s="1">
        <v>0</v>
      </c>
      <c r="C60" s="1" t="s">
        <v>9</v>
      </c>
      <c r="D60" s="1">
        <v>0.5</v>
      </c>
      <c r="E60" s="4">
        <v>2021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AEF1-761A-F748-ADB6-8B72AAE8F8FC}">
  <dimension ref="A1:E31"/>
  <sheetViews>
    <sheetView workbookViewId="0">
      <selection sqref="A1:E31"/>
    </sheetView>
  </sheetViews>
  <sheetFormatPr baseColWidth="10" defaultRowHeight="16" x14ac:dyDescent="0.2"/>
  <cols>
    <col min="1" max="1" width="22" customWidth="1"/>
  </cols>
  <sheetData>
    <row r="1" spans="1:5" x14ac:dyDescent="0.2">
      <c r="A1" s="2" t="s">
        <v>0</v>
      </c>
      <c r="B1" s="2" t="s">
        <v>1</v>
      </c>
      <c r="C1" s="2" t="s">
        <v>2</v>
      </c>
      <c r="D1" s="2" t="s">
        <v>148</v>
      </c>
      <c r="E1" s="2" t="s">
        <v>3</v>
      </c>
    </row>
    <row r="2" spans="1:5" x14ac:dyDescent="0.2">
      <c r="A2" s="3" t="s">
        <v>72</v>
      </c>
      <c r="B2" s="1">
        <v>-7.7200000000000005E-2</v>
      </c>
      <c r="C2" s="1" t="s">
        <v>9</v>
      </c>
      <c r="D2" s="1">
        <v>0.5</v>
      </c>
      <c r="E2" s="4">
        <v>2022</v>
      </c>
    </row>
    <row r="3" spans="1:5" x14ac:dyDescent="0.2">
      <c r="A3" s="3" t="s">
        <v>73</v>
      </c>
      <c r="B3" s="1">
        <v>3.1E-2</v>
      </c>
      <c r="C3" s="1" t="s">
        <v>9</v>
      </c>
      <c r="D3" s="1">
        <v>0.5</v>
      </c>
      <c r="E3" s="4">
        <v>2022</v>
      </c>
    </row>
    <row r="4" spans="1:5" x14ac:dyDescent="0.2">
      <c r="A4" s="3" t="s">
        <v>74</v>
      </c>
      <c r="B4" s="1">
        <v>0.5302</v>
      </c>
      <c r="C4" s="1" t="s">
        <v>5</v>
      </c>
      <c r="D4" s="1">
        <v>0.8</v>
      </c>
      <c r="E4" s="4">
        <v>2022</v>
      </c>
    </row>
    <row r="5" spans="1:5" x14ac:dyDescent="0.2">
      <c r="A5" s="3" t="s">
        <v>75</v>
      </c>
      <c r="B5" s="1">
        <v>0.52669999999999995</v>
      </c>
      <c r="C5" s="1" t="s">
        <v>5</v>
      </c>
      <c r="D5" s="1">
        <v>0.8</v>
      </c>
      <c r="E5" s="4">
        <v>2022</v>
      </c>
    </row>
    <row r="6" spans="1:5" x14ac:dyDescent="0.2">
      <c r="A6" s="3" t="s">
        <v>76</v>
      </c>
      <c r="B6" s="1">
        <v>-0.26169999999999999</v>
      </c>
      <c r="C6" s="1" t="s">
        <v>25</v>
      </c>
      <c r="D6" s="1">
        <v>0.4</v>
      </c>
      <c r="E6" s="4">
        <v>2022</v>
      </c>
    </row>
    <row r="7" spans="1:5" x14ac:dyDescent="0.2">
      <c r="A7" s="3" t="s">
        <v>77</v>
      </c>
      <c r="B7" s="1">
        <v>0.38179999999999997</v>
      </c>
      <c r="C7" s="1" t="s">
        <v>11</v>
      </c>
      <c r="D7" s="1">
        <v>0.7</v>
      </c>
      <c r="E7" s="4">
        <v>2022</v>
      </c>
    </row>
    <row r="8" spans="1:5" x14ac:dyDescent="0.2">
      <c r="A8" s="3" t="s">
        <v>78</v>
      </c>
      <c r="B8" s="1">
        <v>0.81499999999999995</v>
      </c>
      <c r="C8" s="1" t="s">
        <v>18</v>
      </c>
      <c r="D8" s="1">
        <v>0.9</v>
      </c>
      <c r="E8" s="4">
        <v>2022</v>
      </c>
    </row>
    <row r="9" spans="1:5" x14ac:dyDescent="0.2">
      <c r="A9" s="3" t="s">
        <v>79</v>
      </c>
      <c r="B9" s="1">
        <v>-0.128</v>
      </c>
      <c r="C9" s="1" t="s">
        <v>25</v>
      </c>
      <c r="D9" s="1">
        <v>0.4</v>
      </c>
      <c r="E9" s="4">
        <v>2022</v>
      </c>
    </row>
    <row r="10" spans="1:5" x14ac:dyDescent="0.2">
      <c r="A10" s="3" t="s">
        <v>80</v>
      </c>
      <c r="B10" s="1">
        <v>0.55630000000000002</v>
      </c>
      <c r="C10" s="1" t="s">
        <v>5</v>
      </c>
      <c r="D10" s="1">
        <v>0.8</v>
      </c>
      <c r="E10" s="4">
        <v>2022</v>
      </c>
    </row>
    <row r="11" spans="1:5" x14ac:dyDescent="0.2">
      <c r="A11" s="3" t="s">
        <v>81</v>
      </c>
      <c r="B11" s="1">
        <v>4.5999999999999999E-2</v>
      </c>
      <c r="C11" s="1" t="s">
        <v>9</v>
      </c>
      <c r="D11" s="1">
        <v>0.5</v>
      </c>
      <c r="E11" s="4">
        <v>2022</v>
      </c>
    </row>
    <row r="12" spans="1:5" x14ac:dyDescent="0.2">
      <c r="A12" s="3" t="s">
        <v>82</v>
      </c>
      <c r="B12" s="1">
        <v>0.50949999999999995</v>
      </c>
      <c r="C12" s="1" t="s">
        <v>5</v>
      </c>
      <c r="D12" s="1">
        <v>0.8</v>
      </c>
      <c r="E12" s="4">
        <v>2022</v>
      </c>
    </row>
    <row r="13" spans="1:5" x14ac:dyDescent="0.2">
      <c r="A13" s="3" t="s">
        <v>83</v>
      </c>
      <c r="B13" s="1">
        <v>-0.15310000000000001</v>
      </c>
      <c r="C13" s="1" t="s">
        <v>25</v>
      </c>
      <c r="D13" s="1">
        <v>0.4</v>
      </c>
      <c r="E13" s="4">
        <v>2022</v>
      </c>
    </row>
    <row r="14" spans="1:5" x14ac:dyDescent="0.2">
      <c r="A14" s="3" t="s">
        <v>84</v>
      </c>
      <c r="B14" s="1">
        <v>0</v>
      </c>
      <c r="C14" s="1" t="s">
        <v>9</v>
      </c>
      <c r="D14" s="1">
        <v>0.5</v>
      </c>
      <c r="E14" s="4">
        <v>2022</v>
      </c>
    </row>
    <row r="15" spans="1:5" x14ac:dyDescent="0.2">
      <c r="A15" s="3" t="s">
        <v>85</v>
      </c>
      <c r="B15" s="1">
        <v>0.57089999999999996</v>
      </c>
      <c r="C15" s="1" t="s">
        <v>5</v>
      </c>
      <c r="D15" s="1">
        <v>0.8</v>
      </c>
      <c r="E15" s="4">
        <v>2022</v>
      </c>
    </row>
    <row r="16" spans="1:5" x14ac:dyDescent="0.2">
      <c r="A16" s="3" t="s">
        <v>86</v>
      </c>
      <c r="B16" s="1">
        <v>0</v>
      </c>
      <c r="C16" s="1" t="s">
        <v>9</v>
      </c>
      <c r="D16" s="1">
        <v>0.5</v>
      </c>
      <c r="E16" s="4">
        <v>2022</v>
      </c>
    </row>
    <row r="17" spans="1:5" x14ac:dyDescent="0.2">
      <c r="A17" s="3" t="s">
        <v>87</v>
      </c>
      <c r="B17" s="1">
        <v>0</v>
      </c>
      <c r="C17" s="1" t="s">
        <v>9</v>
      </c>
      <c r="D17" s="1">
        <v>0.5</v>
      </c>
      <c r="E17" s="4">
        <v>2022</v>
      </c>
    </row>
    <row r="18" spans="1:5" x14ac:dyDescent="0.2">
      <c r="A18" s="3" t="s">
        <v>88</v>
      </c>
      <c r="B18" s="1">
        <v>0.55740000000000001</v>
      </c>
      <c r="C18" s="1" t="s">
        <v>5</v>
      </c>
      <c r="D18" s="1">
        <v>0.8</v>
      </c>
      <c r="E18" s="4">
        <v>2022</v>
      </c>
    </row>
    <row r="19" spans="1:5" x14ac:dyDescent="0.2">
      <c r="A19" s="3" t="s">
        <v>89</v>
      </c>
      <c r="B19" s="1">
        <v>0</v>
      </c>
      <c r="C19" s="1" t="s">
        <v>9</v>
      </c>
      <c r="D19" s="1">
        <v>0.5</v>
      </c>
      <c r="E19" s="4">
        <v>2022</v>
      </c>
    </row>
    <row r="20" spans="1:5" x14ac:dyDescent="0.2">
      <c r="A20" s="3" t="s">
        <v>90</v>
      </c>
      <c r="B20" s="1">
        <v>0</v>
      </c>
      <c r="C20" s="1" t="s">
        <v>9</v>
      </c>
      <c r="D20" s="1">
        <v>0.5</v>
      </c>
      <c r="E20" s="4">
        <v>2022</v>
      </c>
    </row>
    <row r="21" spans="1:5" x14ac:dyDescent="0.2">
      <c r="A21" s="3" t="s">
        <v>91</v>
      </c>
      <c r="B21" s="1">
        <v>0.81</v>
      </c>
      <c r="C21" s="1" t="s">
        <v>18</v>
      </c>
      <c r="D21" s="1">
        <v>0.9</v>
      </c>
      <c r="E21" s="4">
        <v>2022</v>
      </c>
    </row>
    <row r="22" spans="1:5" x14ac:dyDescent="0.2">
      <c r="A22" s="3" t="s">
        <v>92</v>
      </c>
      <c r="B22" s="1">
        <v>0.69079999999999997</v>
      </c>
      <c r="C22" s="1" t="s">
        <v>5</v>
      </c>
      <c r="D22" s="1">
        <v>0.8</v>
      </c>
      <c r="E22" s="4">
        <v>2022</v>
      </c>
    </row>
    <row r="23" spans="1:5" x14ac:dyDescent="0.2">
      <c r="A23" s="3" t="s">
        <v>93</v>
      </c>
      <c r="B23" s="1">
        <v>0</v>
      </c>
      <c r="C23" s="1" t="s">
        <v>9</v>
      </c>
      <c r="D23" s="1">
        <v>0.5</v>
      </c>
      <c r="E23" s="4">
        <v>2022</v>
      </c>
    </row>
    <row r="24" spans="1:5" x14ac:dyDescent="0.2">
      <c r="A24" s="3" t="s">
        <v>94</v>
      </c>
      <c r="B24" s="1">
        <v>0</v>
      </c>
      <c r="C24" s="1" t="s">
        <v>9</v>
      </c>
      <c r="D24" s="1">
        <v>0.5</v>
      </c>
      <c r="E24" s="4">
        <v>2022</v>
      </c>
    </row>
    <row r="25" spans="1:5" x14ac:dyDescent="0.2">
      <c r="A25" s="3" t="s">
        <v>95</v>
      </c>
      <c r="B25" s="1">
        <v>0</v>
      </c>
      <c r="C25" s="1" t="s">
        <v>9</v>
      </c>
      <c r="D25" s="1">
        <v>0.5</v>
      </c>
      <c r="E25" s="4">
        <v>2022</v>
      </c>
    </row>
    <row r="26" spans="1:5" x14ac:dyDescent="0.2">
      <c r="A26" s="3" t="s">
        <v>96</v>
      </c>
      <c r="B26" s="1">
        <v>0.58489999999999998</v>
      </c>
      <c r="C26" s="1" t="s">
        <v>5</v>
      </c>
      <c r="D26" s="1">
        <v>0.8</v>
      </c>
      <c r="E26" s="4">
        <v>2022</v>
      </c>
    </row>
    <row r="27" spans="1:5" x14ac:dyDescent="0.2">
      <c r="A27" s="3" t="s">
        <v>97</v>
      </c>
      <c r="B27" s="1">
        <v>0</v>
      </c>
      <c r="C27" s="1" t="s">
        <v>9</v>
      </c>
      <c r="D27" s="1">
        <v>0.5</v>
      </c>
      <c r="E27" s="4">
        <v>2022</v>
      </c>
    </row>
    <row r="28" spans="1:5" x14ac:dyDescent="0.2">
      <c r="A28" s="3" t="s">
        <v>98</v>
      </c>
      <c r="B28" s="1">
        <v>-0.68010000000000004</v>
      </c>
      <c r="C28" s="1" t="s">
        <v>46</v>
      </c>
      <c r="D28" s="1">
        <v>0.2</v>
      </c>
      <c r="E28" s="4">
        <v>2022</v>
      </c>
    </row>
    <row r="29" spans="1:5" x14ac:dyDescent="0.2">
      <c r="A29" s="3" t="s">
        <v>99</v>
      </c>
      <c r="B29" s="1">
        <v>0</v>
      </c>
      <c r="C29" s="1" t="s">
        <v>9</v>
      </c>
      <c r="D29" s="1">
        <v>0.5</v>
      </c>
      <c r="E29" s="4">
        <v>2022</v>
      </c>
    </row>
    <row r="30" spans="1:5" x14ac:dyDescent="0.2">
      <c r="A30" s="3" t="s">
        <v>100</v>
      </c>
      <c r="B30" s="1">
        <v>0.79059999999999997</v>
      </c>
      <c r="C30" s="1" t="s">
        <v>18</v>
      </c>
      <c r="D30" s="1">
        <v>0.9</v>
      </c>
      <c r="E30" s="4">
        <v>2022</v>
      </c>
    </row>
    <row r="31" spans="1:5" x14ac:dyDescent="0.2">
      <c r="A31" s="3" t="s">
        <v>101</v>
      </c>
      <c r="B31" s="1">
        <v>0.63690000000000002</v>
      </c>
      <c r="C31" s="1" t="s">
        <v>5</v>
      </c>
      <c r="D31" s="1">
        <v>0.8</v>
      </c>
      <c r="E31" s="4">
        <v>2022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53E2-E4EB-1B4F-8830-852D9085C356}">
  <dimension ref="A1:E29"/>
  <sheetViews>
    <sheetView workbookViewId="0">
      <selection sqref="A1:E29"/>
    </sheetView>
  </sheetViews>
  <sheetFormatPr baseColWidth="10" defaultRowHeight="16" x14ac:dyDescent="0.2"/>
  <cols>
    <col min="1" max="1" width="21.6640625" customWidth="1"/>
  </cols>
  <sheetData>
    <row r="1" spans="1:5" x14ac:dyDescent="0.2">
      <c r="A1" s="2" t="s">
        <v>0</v>
      </c>
      <c r="B1" s="2" t="s">
        <v>1</v>
      </c>
      <c r="C1" s="2" t="s">
        <v>2</v>
      </c>
      <c r="D1" s="2" t="s">
        <v>148</v>
      </c>
      <c r="E1" s="2" t="s">
        <v>3</v>
      </c>
    </row>
    <row r="2" spans="1:5" x14ac:dyDescent="0.2">
      <c r="A2" s="3" t="s">
        <v>102</v>
      </c>
      <c r="B2" s="1">
        <v>0.89100000000000001</v>
      </c>
      <c r="C2" s="1" t="s">
        <v>18</v>
      </c>
      <c r="D2" s="1">
        <v>0.9</v>
      </c>
      <c r="E2" s="4">
        <v>2023</v>
      </c>
    </row>
    <row r="3" spans="1:5" x14ac:dyDescent="0.2">
      <c r="A3" s="3" t="s">
        <v>103</v>
      </c>
      <c r="B3" s="1">
        <v>-0.70960000000000001</v>
      </c>
      <c r="C3" s="1" t="s">
        <v>104</v>
      </c>
      <c r="D3" s="1">
        <v>0.1</v>
      </c>
      <c r="E3" s="4">
        <v>2023</v>
      </c>
    </row>
    <row r="4" spans="1:5" x14ac:dyDescent="0.2">
      <c r="A4" s="3" t="s">
        <v>105</v>
      </c>
      <c r="B4" s="1">
        <v>-0.15310000000000001</v>
      </c>
      <c r="C4" s="1" t="s">
        <v>25</v>
      </c>
      <c r="D4" s="1">
        <v>0.4</v>
      </c>
      <c r="E4" s="4">
        <v>2023</v>
      </c>
    </row>
    <row r="5" spans="1:5" x14ac:dyDescent="0.2">
      <c r="A5" s="3" t="s">
        <v>106</v>
      </c>
      <c r="B5" s="1">
        <v>0.85680000000000001</v>
      </c>
      <c r="C5" s="1" t="s">
        <v>18</v>
      </c>
      <c r="D5" s="1">
        <v>0.9</v>
      </c>
      <c r="E5" s="4">
        <v>2023</v>
      </c>
    </row>
    <row r="6" spans="1:5" x14ac:dyDescent="0.2">
      <c r="A6" s="3" t="s">
        <v>107</v>
      </c>
      <c r="B6" s="1">
        <v>-0.51060000000000005</v>
      </c>
      <c r="C6" s="1" t="s">
        <v>46</v>
      </c>
      <c r="D6" s="1">
        <v>0.2</v>
      </c>
      <c r="E6" s="4">
        <v>2023</v>
      </c>
    </row>
    <row r="7" spans="1:5" x14ac:dyDescent="0.2">
      <c r="A7" s="3" t="s">
        <v>108</v>
      </c>
      <c r="B7" s="1">
        <v>0.38179999999999997</v>
      </c>
      <c r="C7" s="1" t="s">
        <v>11</v>
      </c>
      <c r="D7" s="1">
        <v>0.7</v>
      </c>
      <c r="E7" s="4">
        <v>2023</v>
      </c>
    </row>
    <row r="8" spans="1:5" x14ac:dyDescent="0.2">
      <c r="A8" s="3" t="s">
        <v>109</v>
      </c>
      <c r="B8" s="1">
        <v>-0.2732</v>
      </c>
      <c r="C8" s="1" t="s">
        <v>25</v>
      </c>
      <c r="D8" s="1">
        <v>0.4</v>
      </c>
      <c r="E8" s="4">
        <v>2023</v>
      </c>
    </row>
    <row r="9" spans="1:5" x14ac:dyDescent="0.2">
      <c r="A9" s="3" t="s">
        <v>110</v>
      </c>
      <c r="B9" s="1">
        <v>0</v>
      </c>
      <c r="C9" s="1" t="s">
        <v>9</v>
      </c>
      <c r="D9" s="1">
        <v>0.5</v>
      </c>
      <c r="E9" s="4">
        <v>2023</v>
      </c>
    </row>
    <row r="10" spans="1:5" x14ac:dyDescent="0.2">
      <c r="A10" s="3" t="s">
        <v>111</v>
      </c>
      <c r="B10" s="1">
        <v>0</v>
      </c>
      <c r="C10" s="1" t="s">
        <v>9</v>
      </c>
      <c r="D10" s="1">
        <v>0.5</v>
      </c>
      <c r="E10" s="4">
        <v>2023</v>
      </c>
    </row>
    <row r="11" spans="1:5" x14ac:dyDescent="0.2">
      <c r="A11" s="3" t="s">
        <v>112</v>
      </c>
      <c r="B11" s="1">
        <v>0.20230000000000001</v>
      </c>
      <c r="C11" s="1" t="s">
        <v>36</v>
      </c>
      <c r="D11" s="1">
        <v>0.6</v>
      </c>
      <c r="E11" s="4">
        <v>2023</v>
      </c>
    </row>
    <row r="12" spans="1:5" x14ac:dyDescent="0.2">
      <c r="A12" s="3" t="s">
        <v>113</v>
      </c>
      <c r="B12" s="1">
        <v>0.20230000000000001</v>
      </c>
      <c r="C12" s="1" t="s">
        <v>36</v>
      </c>
      <c r="D12" s="1">
        <v>0.6</v>
      </c>
      <c r="E12" s="4">
        <v>2023</v>
      </c>
    </row>
    <row r="13" spans="1:5" x14ac:dyDescent="0.2">
      <c r="A13" s="3" t="s">
        <v>114</v>
      </c>
      <c r="B13" s="1">
        <v>0.29599999999999999</v>
      </c>
      <c r="C13" s="1" t="s">
        <v>36</v>
      </c>
      <c r="D13" s="1">
        <v>0.6</v>
      </c>
      <c r="E13" s="4">
        <v>2023</v>
      </c>
    </row>
    <row r="14" spans="1:5" x14ac:dyDescent="0.2">
      <c r="A14" s="3" t="s">
        <v>115</v>
      </c>
      <c r="B14" s="1">
        <v>-0.40189999999999998</v>
      </c>
      <c r="C14" s="1" t="s">
        <v>23</v>
      </c>
      <c r="D14" s="1">
        <v>0.3</v>
      </c>
      <c r="E14" s="4">
        <v>2023</v>
      </c>
    </row>
    <row r="15" spans="1:5" x14ac:dyDescent="0.2">
      <c r="A15" s="3" t="s">
        <v>116</v>
      </c>
      <c r="B15" s="1">
        <v>0</v>
      </c>
      <c r="C15" s="1" t="s">
        <v>9</v>
      </c>
      <c r="D15" s="1">
        <v>0.5</v>
      </c>
      <c r="E15" s="4">
        <v>2023</v>
      </c>
    </row>
    <row r="16" spans="1:5" x14ac:dyDescent="0.2">
      <c r="A16" s="3" t="s">
        <v>117</v>
      </c>
      <c r="B16" s="1">
        <v>-0.59940000000000004</v>
      </c>
      <c r="C16" s="1" t="s">
        <v>46</v>
      </c>
      <c r="D16" s="1">
        <v>0.2</v>
      </c>
      <c r="E16" s="4">
        <v>2023</v>
      </c>
    </row>
    <row r="17" spans="1:5" x14ac:dyDescent="0.2">
      <c r="A17" s="3" t="s">
        <v>118</v>
      </c>
      <c r="B17" s="1">
        <v>-0.45879999999999999</v>
      </c>
      <c r="C17" s="1" t="s">
        <v>23</v>
      </c>
      <c r="D17" s="1">
        <v>0.3</v>
      </c>
      <c r="E17" s="4">
        <v>2023</v>
      </c>
    </row>
    <row r="18" spans="1:5" x14ac:dyDescent="0.2">
      <c r="A18" s="3" t="s">
        <v>119</v>
      </c>
      <c r="B18" s="1">
        <v>0.69079999999999997</v>
      </c>
      <c r="C18" s="1" t="s">
        <v>5</v>
      </c>
      <c r="D18" s="1">
        <v>0.8</v>
      </c>
      <c r="E18" s="4">
        <v>2023</v>
      </c>
    </row>
    <row r="19" spans="1:5" x14ac:dyDescent="0.2">
      <c r="A19" s="3" t="s">
        <v>120</v>
      </c>
      <c r="B19" s="1">
        <v>0.68079999999999996</v>
      </c>
      <c r="C19" s="1" t="s">
        <v>5</v>
      </c>
      <c r="D19" s="1">
        <v>0.8</v>
      </c>
      <c r="E19" s="4">
        <v>2023</v>
      </c>
    </row>
    <row r="20" spans="1:5" x14ac:dyDescent="0.2">
      <c r="A20" s="3" t="s">
        <v>121</v>
      </c>
      <c r="B20" s="1">
        <v>-2.58E-2</v>
      </c>
      <c r="C20" s="1" t="s">
        <v>9</v>
      </c>
      <c r="D20" s="1">
        <v>0.5</v>
      </c>
      <c r="E20" s="4">
        <v>2023</v>
      </c>
    </row>
    <row r="21" spans="1:5" x14ac:dyDescent="0.2">
      <c r="A21" s="3" t="s">
        <v>122</v>
      </c>
      <c r="B21" s="1">
        <v>0</v>
      </c>
      <c r="C21" s="1" t="s">
        <v>9</v>
      </c>
      <c r="D21" s="1">
        <v>0.5</v>
      </c>
      <c r="E21" s="4">
        <v>2023</v>
      </c>
    </row>
    <row r="22" spans="1:5" x14ac:dyDescent="0.2">
      <c r="A22" s="3" t="s">
        <v>123</v>
      </c>
      <c r="B22" s="1">
        <v>0</v>
      </c>
      <c r="C22" s="1" t="s">
        <v>9</v>
      </c>
      <c r="D22" s="1">
        <v>0.5</v>
      </c>
      <c r="E22" s="4">
        <v>2023</v>
      </c>
    </row>
    <row r="23" spans="1:5" x14ac:dyDescent="0.2">
      <c r="A23" s="3" t="s">
        <v>124</v>
      </c>
      <c r="B23" s="1">
        <v>0</v>
      </c>
      <c r="C23" s="1" t="s">
        <v>9</v>
      </c>
      <c r="D23" s="1">
        <v>0.5</v>
      </c>
      <c r="E23" s="4">
        <v>2023</v>
      </c>
    </row>
    <row r="24" spans="1:5" x14ac:dyDescent="0.2">
      <c r="A24" s="3" t="s">
        <v>125</v>
      </c>
      <c r="B24" s="1">
        <v>0</v>
      </c>
      <c r="C24" s="1" t="s">
        <v>9</v>
      </c>
      <c r="D24" s="1">
        <v>0.5</v>
      </c>
      <c r="E24" s="4">
        <v>2023</v>
      </c>
    </row>
    <row r="25" spans="1:5" x14ac:dyDescent="0.2">
      <c r="A25" s="3" t="s">
        <v>126</v>
      </c>
      <c r="B25" s="1">
        <v>0.44040000000000001</v>
      </c>
      <c r="C25" s="1" t="s">
        <v>11</v>
      </c>
      <c r="D25" s="1">
        <v>0.7</v>
      </c>
      <c r="E25" s="4">
        <v>2023</v>
      </c>
    </row>
    <row r="26" spans="1:5" x14ac:dyDescent="0.2">
      <c r="A26" s="3" t="s">
        <v>127</v>
      </c>
      <c r="B26" s="1">
        <v>0.45879999999999999</v>
      </c>
      <c r="C26" s="1" t="s">
        <v>11</v>
      </c>
      <c r="D26" s="1">
        <v>0.7</v>
      </c>
      <c r="E26" s="4">
        <v>2023</v>
      </c>
    </row>
    <row r="27" spans="1:5" x14ac:dyDescent="0.2">
      <c r="A27" s="3" t="s">
        <v>128</v>
      </c>
      <c r="B27" s="1">
        <v>-0.65969999999999995</v>
      </c>
      <c r="C27" s="1" t="s">
        <v>46</v>
      </c>
      <c r="D27" s="1">
        <v>0.2</v>
      </c>
      <c r="E27" s="4">
        <v>2023</v>
      </c>
    </row>
    <row r="28" spans="1:5" x14ac:dyDescent="0.2">
      <c r="A28" s="3" t="s">
        <v>129</v>
      </c>
      <c r="B28" s="1">
        <v>-0.40189999999999998</v>
      </c>
      <c r="C28" s="1" t="s">
        <v>23</v>
      </c>
      <c r="D28" s="1">
        <v>0.3</v>
      </c>
      <c r="E28" s="4">
        <v>2023</v>
      </c>
    </row>
    <row r="29" spans="1:5" x14ac:dyDescent="0.2">
      <c r="A29" s="3" t="s">
        <v>130</v>
      </c>
      <c r="B29" s="1">
        <v>0.83160000000000001</v>
      </c>
      <c r="C29" s="1" t="s">
        <v>18</v>
      </c>
      <c r="D29" s="1">
        <v>0.9</v>
      </c>
      <c r="E29" s="4">
        <v>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934B-A9EA-8646-A1CC-8C402705F560}">
  <dimension ref="A1:E18"/>
  <sheetViews>
    <sheetView workbookViewId="0">
      <selection activeCell="E27" sqref="E27"/>
    </sheetView>
  </sheetViews>
  <sheetFormatPr baseColWidth="10" defaultRowHeight="16" x14ac:dyDescent="0.2"/>
  <cols>
    <col min="1" max="1" width="21.6640625" customWidth="1"/>
  </cols>
  <sheetData>
    <row r="1" spans="1:5" x14ac:dyDescent="0.2">
      <c r="A1" s="2" t="s">
        <v>0</v>
      </c>
      <c r="B1" s="2" t="s">
        <v>1</v>
      </c>
      <c r="C1" s="2" t="s">
        <v>2</v>
      </c>
      <c r="D1" s="2" t="s">
        <v>148</v>
      </c>
      <c r="E1" s="2" t="s">
        <v>3</v>
      </c>
    </row>
    <row r="2" spans="1:5" x14ac:dyDescent="0.2">
      <c r="A2" s="3" t="s">
        <v>131</v>
      </c>
      <c r="B2" s="1">
        <v>0</v>
      </c>
      <c r="C2" s="1" t="s">
        <v>9</v>
      </c>
      <c r="D2" s="1">
        <v>0.5</v>
      </c>
      <c r="E2" s="4">
        <v>2024</v>
      </c>
    </row>
    <row r="3" spans="1:5" x14ac:dyDescent="0.2">
      <c r="A3" s="3" t="s">
        <v>132</v>
      </c>
      <c r="B3" s="1">
        <v>-0.47670000000000001</v>
      </c>
      <c r="C3" s="1" t="s">
        <v>23</v>
      </c>
      <c r="D3" s="1">
        <v>0.3</v>
      </c>
      <c r="E3" s="4">
        <v>2024</v>
      </c>
    </row>
    <row r="4" spans="1:5" x14ac:dyDescent="0.2">
      <c r="A4" s="3" t="s">
        <v>133</v>
      </c>
      <c r="B4" s="1">
        <v>0.38179999999999997</v>
      </c>
      <c r="C4" s="1" t="s">
        <v>11</v>
      </c>
      <c r="D4" s="1">
        <v>0.7</v>
      </c>
      <c r="E4" s="4">
        <v>2024</v>
      </c>
    </row>
    <row r="5" spans="1:5" x14ac:dyDescent="0.2">
      <c r="A5" s="3" t="s">
        <v>134</v>
      </c>
      <c r="B5" s="1">
        <v>0.42149999999999999</v>
      </c>
      <c r="C5" s="1" t="s">
        <v>11</v>
      </c>
      <c r="D5" s="1">
        <v>0.7</v>
      </c>
      <c r="E5" s="4">
        <v>2024</v>
      </c>
    </row>
    <row r="6" spans="1:5" x14ac:dyDescent="0.2">
      <c r="A6" s="3" t="s">
        <v>135</v>
      </c>
      <c r="B6" s="1">
        <v>-0.59940000000000004</v>
      </c>
      <c r="C6" s="1" t="s">
        <v>46</v>
      </c>
      <c r="D6" s="1">
        <v>0.2</v>
      </c>
      <c r="E6" s="4">
        <v>2024</v>
      </c>
    </row>
    <row r="7" spans="1:5" x14ac:dyDescent="0.2">
      <c r="A7" s="3" t="s">
        <v>136</v>
      </c>
      <c r="B7" s="1">
        <v>-0.2263</v>
      </c>
      <c r="C7" s="1" t="s">
        <v>25</v>
      </c>
      <c r="D7" s="1">
        <v>0.4</v>
      </c>
      <c r="E7" s="4">
        <v>2024</v>
      </c>
    </row>
    <row r="8" spans="1:5" x14ac:dyDescent="0.2">
      <c r="A8" s="3" t="s">
        <v>137</v>
      </c>
      <c r="B8" s="1">
        <v>0.45879999999999999</v>
      </c>
      <c r="C8" s="1" t="s">
        <v>11</v>
      </c>
      <c r="D8" s="1">
        <v>0.7</v>
      </c>
      <c r="E8" s="4">
        <v>2024</v>
      </c>
    </row>
    <row r="9" spans="1:5" x14ac:dyDescent="0.2">
      <c r="A9" s="3" t="s">
        <v>138</v>
      </c>
      <c r="B9" s="1">
        <v>0.59940000000000004</v>
      </c>
      <c r="C9" s="1" t="s">
        <v>5</v>
      </c>
      <c r="D9" s="1">
        <v>0.8</v>
      </c>
      <c r="E9" s="4">
        <v>2024</v>
      </c>
    </row>
    <row r="10" spans="1:5" x14ac:dyDescent="0.2">
      <c r="A10" s="3" t="s">
        <v>139</v>
      </c>
      <c r="B10" s="1">
        <v>0.42149999999999999</v>
      </c>
      <c r="C10" s="1" t="s">
        <v>11</v>
      </c>
      <c r="D10" s="1">
        <v>0.7</v>
      </c>
      <c r="E10" s="4">
        <v>2024</v>
      </c>
    </row>
    <row r="11" spans="1:5" x14ac:dyDescent="0.2">
      <c r="A11" s="3" t="s">
        <v>140</v>
      </c>
      <c r="B11" s="1">
        <v>0.20230000000000001</v>
      </c>
      <c r="C11" s="1" t="s">
        <v>36</v>
      </c>
      <c r="D11" s="1">
        <v>0.6</v>
      </c>
      <c r="E11" s="4">
        <v>2024</v>
      </c>
    </row>
    <row r="12" spans="1:5" x14ac:dyDescent="0.2">
      <c r="A12" s="3" t="s">
        <v>141</v>
      </c>
      <c r="B12" s="1">
        <v>0</v>
      </c>
      <c r="C12" s="1" t="s">
        <v>9</v>
      </c>
      <c r="D12" s="1">
        <v>0.5</v>
      </c>
      <c r="E12" s="4">
        <v>2024</v>
      </c>
    </row>
    <row r="13" spans="1:5" x14ac:dyDescent="0.2">
      <c r="A13" s="3" t="s">
        <v>142</v>
      </c>
      <c r="B13" s="1">
        <v>0</v>
      </c>
      <c r="C13" s="1" t="s">
        <v>9</v>
      </c>
      <c r="D13" s="1">
        <v>0.5</v>
      </c>
      <c r="E13" s="4">
        <v>2024</v>
      </c>
    </row>
    <row r="14" spans="1:5" x14ac:dyDescent="0.2">
      <c r="A14" s="3" t="s">
        <v>143</v>
      </c>
      <c r="B14" s="1">
        <v>-2.58E-2</v>
      </c>
      <c r="C14" s="1" t="s">
        <v>9</v>
      </c>
      <c r="D14" s="1">
        <v>0.5</v>
      </c>
      <c r="E14" s="4">
        <v>2024</v>
      </c>
    </row>
    <row r="15" spans="1:5" x14ac:dyDescent="0.2">
      <c r="A15" s="3" t="s">
        <v>144</v>
      </c>
      <c r="B15" s="1">
        <v>-0.17610000000000001</v>
      </c>
      <c r="C15" s="1" t="s">
        <v>25</v>
      </c>
      <c r="D15" s="1">
        <v>0.4</v>
      </c>
      <c r="E15" s="4">
        <v>2024</v>
      </c>
    </row>
    <row r="16" spans="1:5" x14ac:dyDescent="0.2">
      <c r="A16" s="3" t="s">
        <v>145</v>
      </c>
      <c r="B16" s="1">
        <v>-0.42149999999999999</v>
      </c>
      <c r="C16" s="1" t="s">
        <v>23</v>
      </c>
      <c r="D16" s="1">
        <v>0.3</v>
      </c>
      <c r="E16" s="4">
        <v>2024</v>
      </c>
    </row>
    <row r="17" spans="1:5" x14ac:dyDescent="0.2">
      <c r="A17" s="3" t="s">
        <v>146</v>
      </c>
      <c r="B17" s="1">
        <v>0.62490000000000001</v>
      </c>
      <c r="C17" s="1" t="s">
        <v>5</v>
      </c>
      <c r="D17" s="1">
        <v>0.8</v>
      </c>
      <c r="E17" s="4">
        <v>2024</v>
      </c>
    </row>
    <row r="18" spans="1:5" x14ac:dyDescent="0.2">
      <c r="A18" s="5" t="s">
        <v>147</v>
      </c>
      <c r="B18" s="6">
        <v>0</v>
      </c>
      <c r="C18" s="6" t="s">
        <v>9</v>
      </c>
      <c r="D18" s="6">
        <v>0.5</v>
      </c>
      <c r="E18" s="7">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vt:lpstr>
      <vt:lpstr>Informe Directivo 2021</vt:lpstr>
      <vt:lpstr>Informe Directivo 2022</vt:lpstr>
      <vt:lpstr>Informe Directivo 2023</vt:lpstr>
      <vt:lpstr>Informe Directivo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Alejandra De La Espriella Palmett</dc:creator>
  <cp:lastModifiedBy>Luisa Alejandra De La Espriella Palmett</cp:lastModifiedBy>
  <dcterms:created xsi:type="dcterms:W3CDTF">2025-04-04T12:26:36Z</dcterms:created>
  <dcterms:modified xsi:type="dcterms:W3CDTF">2025-04-04T17:23:44Z</dcterms:modified>
</cp:coreProperties>
</file>